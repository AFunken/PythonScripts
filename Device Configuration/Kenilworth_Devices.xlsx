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Device Configuration/"/>
    </mc:Choice>
  </mc:AlternateContent>
  <xr:revisionPtr revIDLastSave="459" documentId="8_{E7063679-5DEC-4677-875B-0CE24A28AED2}" xr6:coauthVersionLast="47" xr6:coauthVersionMax="47" xr10:uidLastSave="{BFC6F8CD-9D50-46EE-89F7-46EB57AD3450}"/>
  <bookViews>
    <workbookView xWindow="-120" yWindow="-120" windowWidth="29040" windowHeight="15720" activeTab="2" xr2:uid="{062C367D-1541-4991-971E-5ABC09D2C61C}"/>
  </bookViews>
  <sheets>
    <sheet name="ALL" sheetId="1" r:id="rId1"/>
    <sheet name="UPS" sheetId="8" r:id="rId2"/>
    <sheet name="Busway" sheetId="7" r:id="rId3"/>
    <sheet name="6A" sheetId="2" r:id="rId4"/>
    <sheet name="6B" sheetId="3" r:id="rId5"/>
    <sheet name="6C" sheetId="4" r:id="rId6"/>
    <sheet name="6D" sheetId="5" r:id="rId7"/>
    <sheet name="6E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21" i="7" l="1"/>
  <c r="O221" i="7" s="1"/>
  <c r="M220" i="7"/>
  <c r="O220" i="7" s="1"/>
  <c r="M219" i="7"/>
  <c r="O219" i="7" s="1"/>
  <c r="M218" i="7"/>
  <c r="O218" i="7" s="1"/>
  <c r="M217" i="7"/>
  <c r="O217" i="7" s="1"/>
  <c r="M216" i="7"/>
  <c r="O216" i="7" s="1"/>
  <c r="M215" i="7"/>
  <c r="O215" i="7" s="1"/>
  <c r="M214" i="7"/>
  <c r="O214" i="7" s="1"/>
  <c r="M213" i="7"/>
  <c r="O213" i="7" s="1"/>
  <c r="M212" i="7"/>
  <c r="O212" i="7" s="1"/>
  <c r="M211" i="7"/>
  <c r="O211" i="7" s="1"/>
  <c r="M210" i="7"/>
  <c r="O210" i="7" s="1"/>
  <c r="M209" i="7"/>
  <c r="O209" i="7" s="1"/>
  <c r="M208" i="7"/>
  <c r="O208" i="7" s="1"/>
  <c r="M207" i="7"/>
  <c r="O207" i="7" s="1"/>
  <c r="M206" i="7"/>
  <c r="O206" i="7" s="1"/>
  <c r="M205" i="7"/>
  <c r="O205" i="7" s="1"/>
  <c r="M204" i="7"/>
  <c r="O204" i="7" s="1"/>
  <c r="M203" i="7"/>
  <c r="O203" i="7" s="1"/>
  <c r="M202" i="7"/>
  <c r="O202" i="7" s="1"/>
  <c r="M201" i="7"/>
  <c r="O201" i="7" s="1"/>
  <c r="M200" i="7"/>
  <c r="O200" i="7" s="1"/>
  <c r="M199" i="7"/>
  <c r="O199" i="7" s="1"/>
  <c r="M198" i="7"/>
  <c r="O198" i="7" s="1"/>
  <c r="M197" i="7"/>
  <c r="O197" i="7" s="1"/>
  <c r="M196" i="7"/>
  <c r="O196" i="7" s="1"/>
  <c r="M195" i="7"/>
  <c r="O195" i="7" s="1"/>
  <c r="M194" i="7"/>
  <c r="O194" i="7" s="1"/>
  <c r="M193" i="7"/>
  <c r="O193" i="7" s="1"/>
  <c r="M192" i="7"/>
  <c r="O192" i="7" s="1"/>
  <c r="M191" i="7"/>
  <c r="O191" i="7" s="1"/>
  <c r="M190" i="7"/>
  <c r="O190" i="7" s="1"/>
  <c r="M189" i="7"/>
  <c r="O189" i="7" s="1"/>
  <c r="M188" i="7"/>
  <c r="O188" i="7" s="1"/>
  <c r="M187" i="7"/>
  <c r="O187" i="7" s="1"/>
  <c r="M186" i="7"/>
  <c r="O186" i="7" s="1"/>
  <c r="M185" i="7"/>
  <c r="O185" i="7" s="1"/>
  <c r="M184" i="7"/>
  <c r="O184" i="7" s="1"/>
  <c r="M183" i="7"/>
  <c r="O183" i="7" s="1"/>
  <c r="M182" i="7"/>
  <c r="O182" i="7" s="1"/>
  <c r="M181" i="7"/>
  <c r="O181" i="7" s="1"/>
  <c r="M180" i="7"/>
  <c r="O180" i="7" s="1"/>
  <c r="M179" i="7"/>
  <c r="O179" i="7" s="1"/>
  <c r="M178" i="7"/>
  <c r="O178" i="7" s="1"/>
  <c r="M177" i="7"/>
  <c r="O177" i="7" s="1"/>
  <c r="M176" i="7"/>
  <c r="O176" i="7" s="1"/>
  <c r="M175" i="7"/>
  <c r="O175" i="7" s="1"/>
  <c r="M174" i="7"/>
  <c r="O174" i="7" s="1"/>
  <c r="M173" i="7"/>
  <c r="O173" i="7" s="1"/>
  <c r="M172" i="7"/>
  <c r="O172" i="7" s="1"/>
  <c r="M171" i="7"/>
  <c r="O171" i="7" s="1"/>
  <c r="M170" i="7"/>
  <c r="O170" i="7" s="1"/>
  <c r="M169" i="7"/>
  <c r="O169" i="7" s="1"/>
  <c r="M168" i="7"/>
  <c r="O168" i="7" s="1"/>
  <c r="M167" i="7"/>
  <c r="O167" i="7" s="1"/>
  <c r="M166" i="7"/>
  <c r="O166" i="7" s="1"/>
  <c r="M165" i="7"/>
  <c r="O165" i="7" s="1"/>
  <c r="M164" i="7"/>
  <c r="O164" i="7" s="1"/>
  <c r="M163" i="7"/>
  <c r="O163" i="7" s="1"/>
  <c r="M162" i="7"/>
  <c r="O162" i="7" s="1"/>
  <c r="M161" i="7"/>
  <c r="O161" i="7" s="1"/>
  <c r="M160" i="7"/>
  <c r="O160" i="7" s="1"/>
  <c r="M159" i="7"/>
  <c r="O159" i="7" s="1"/>
  <c r="M158" i="7"/>
  <c r="O158" i="7" s="1"/>
  <c r="M157" i="7"/>
  <c r="O157" i="7" s="1"/>
  <c r="M156" i="7"/>
  <c r="O156" i="7" s="1"/>
  <c r="M155" i="7"/>
  <c r="O155" i="7" s="1"/>
  <c r="M154" i="7"/>
  <c r="O154" i="7" s="1"/>
  <c r="M153" i="7"/>
  <c r="O153" i="7" s="1"/>
  <c r="M152" i="7"/>
  <c r="O152" i="7" s="1"/>
  <c r="M151" i="7"/>
  <c r="O151" i="7" s="1"/>
  <c r="M150" i="7"/>
  <c r="O150" i="7" s="1"/>
  <c r="M149" i="7"/>
  <c r="O149" i="7" s="1"/>
  <c r="M148" i="7"/>
  <c r="O148" i="7" s="1"/>
  <c r="M147" i="7"/>
  <c r="O147" i="7" s="1"/>
  <c r="M146" i="7"/>
  <c r="O146" i="7" s="1"/>
  <c r="M145" i="7"/>
  <c r="O145" i="7" s="1"/>
  <c r="M144" i="7"/>
  <c r="O144" i="7" s="1"/>
  <c r="M143" i="7"/>
  <c r="O143" i="7" s="1"/>
  <c r="M142" i="7"/>
  <c r="O142" i="7" s="1"/>
  <c r="M141" i="7"/>
  <c r="O141" i="7" s="1"/>
  <c r="M140" i="7"/>
  <c r="O140" i="7" s="1"/>
  <c r="M139" i="7"/>
  <c r="O139" i="7" s="1"/>
  <c r="M138" i="7"/>
  <c r="O138" i="7" s="1"/>
  <c r="M137" i="7"/>
  <c r="O137" i="7" s="1"/>
  <c r="M136" i="7"/>
  <c r="O136" i="7" s="1"/>
  <c r="M135" i="7"/>
  <c r="O135" i="7" s="1"/>
  <c r="M134" i="7"/>
  <c r="O134" i="7" s="1"/>
  <c r="M133" i="7"/>
  <c r="O133" i="7" s="1"/>
  <c r="M132" i="7"/>
  <c r="O132" i="7" s="1"/>
  <c r="M131" i="7"/>
  <c r="O131" i="7" s="1"/>
  <c r="M130" i="7"/>
  <c r="O130" i="7" s="1"/>
  <c r="M129" i="7"/>
  <c r="O129" i="7" s="1"/>
  <c r="M128" i="7"/>
  <c r="O128" i="7" s="1"/>
  <c r="M127" i="7"/>
  <c r="O127" i="7" s="1"/>
  <c r="M126" i="7"/>
  <c r="O126" i="7" s="1"/>
  <c r="M125" i="7"/>
  <c r="O125" i="7" s="1"/>
  <c r="M124" i="7"/>
  <c r="O124" i="7" s="1"/>
  <c r="M123" i="7"/>
  <c r="O123" i="7" s="1"/>
  <c r="M122" i="7"/>
  <c r="O122" i="7" s="1"/>
  <c r="M121" i="7"/>
  <c r="O121" i="7" s="1"/>
  <c r="M120" i="7"/>
  <c r="O120" i="7" s="1"/>
  <c r="M119" i="7"/>
  <c r="O119" i="7" s="1"/>
  <c r="M118" i="7"/>
  <c r="O118" i="7" s="1"/>
  <c r="M117" i="7"/>
  <c r="O117" i="7" s="1"/>
  <c r="M116" i="7"/>
  <c r="O116" i="7" s="1"/>
  <c r="M115" i="7"/>
  <c r="O115" i="7" s="1"/>
  <c r="M114" i="7"/>
  <c r="O114" i="7" s="1"/>
  <c r="M113" i="7"/>
  <c r="O113" i="7" s="1"/>
  <c r="M112" i="7"/>
  <c r="O112" i="7" s="1"/>
  <c r="M111" i="7"/>
  <c r="O111" i="7" s="1"/>
  <c r="M110" i="7"/>
  <c r="O110" i="7" s="1"/>
  <c r="M109" i="7"/>
  <c r="O109" i="7" s="1"/>
  <c r="M108" i="7"/>
  <c r="O108" i="7" s="1"/>
  <c r="M107" i="7"/>
  <c r="O107" i="7" s="1"/>
  <c r="M106" i="7"/>
  <c r="O106" i="7" s="1"/>
  <c r="M105" i="7"/>
  <c r="O105" i="7" s="1"/>
  <c r="M104" i="7"/>
  <c r="O104" i="7" s="1"/>
  <c r="M103" i="7"/>
  <c r="O103" i="7" s="1"/>
  <c r="M102" i="7"/>
  <c r="O102" i="7" s="1"/>
  <c r="M101" i="7"/>
  <c r="O101" i="7" s="1"/>
  <c r="M100" i="7"/>
  <c r="O100" i="7" s="1"/>
  <c r="M99" i="7"/>
  <c r="O99" i="7" s="1"/>
  <c r="M98" i="7"/>
  <c r="O98" i="7" s="1"/>
  <c r="M97" i="7"/>
  <c r="O97" i="7" s="1"/>
  <c r="M96" i="7"/>
  <c r="O96" i="7" s="1"/>
  <c r="M95" i="7"/>
  <c r="O95" i="7" s="1"/>
  <c r="M94" i="7"/>
  <c r="O94" i="7" s="1"/>
  <c r="M93" i="7"/>
  <c r="O93" i="7" s="1"/>
  <c r="M92" i="7"/>
  <c r="O92" i="7" s="1"/>
  <c r="M91" i="7"/>
  <c r="O91" i="7" s="1"/>
  <c r="M90" i="7"/>
  <c r="O90" i="7" s="1"/>
  <c r="M89" i="7"/>
  <c r="O89" i="7" s="1"/>
  <c r="M88" i="7"/>
  <c r="O88" i="7" s="1"/>
  <c r="M87" i="7"/>
  <c r="O87" i="7" s="1"/>
  <c r="M86" i="7"/>
  <c r="O86" i="7" s="1"/>
  <c r="M85" i="7"/>
  <c r="O85" i="7" s="1"/>
  <c r="M84" i="7"/>
  <c r="O84" i="7" s="1"/>
  <c r="M83" i="7"/>
  <c r="O83" i="7" s="1"/>
  <c r="M82" i="7"/>
  <c r="O82" i="7" s="1"/>
  <c r="M81" i="7"/>
  <c r="O81" i="7" s="1"/>
  <c r="M80" i="7"/>
  <c r="O80" i="7" s="1"/>
  <c r="M79" i="7"/>
  <c r="O79" i="7" s="1"/>
  <c r="M78" i="7"/>
  <c r="O78" i="7" s="1"/>
  <c r="M77" i="7"/>
  <c r="O77" i="7" s="1"/>
  <c r="M76" i="7"/>
  <c r="O76" i="7" s="1"/>
  <c r="M75" i="7"/>
  <c r="O75" i="7" s="1"/>
  <c r="M74" i="7"/>
  <c r="O74" i="7" s="1"/>
  <c r="M73" i="7"/>
  <c r="O73" i="7" s="1"/>
  <c r="M72" i="7"/>
  <c r="O72" i="7" s="1"/>
  <c r="M71" i="7"/>
  <c r="O71" i="7" s="1"/>
  <c r="M70" i="7"/>
  <c r="O70" i="7" s="1"/>
  <c r="M69" i="7"/>
  <c r="O69" i="7" s="1"/>
  <c r="M68" i="7"/>
  <c r="O68" i="7" s="1"/>
  <c r="M67" i="7"/>
  <c r="O67" i="7" s="1"/>
  <c r="M66" i="7"/>
  <c r="O66" i="7" s="1"/>
  <c r="M65" i="7"/>
  <c r="O65" i="7" s="1"/>
  <c r="M64" i="7"/>
  <c r="O64" i="7" s="1"/>
  <c r="M63" i="7"/>
  <c r="O63" i="7" s="1"/>
  <c r="M62" i="7"/>
  <c r="O62" i="7" s="1"/>
  <c r="M61" i="7"/>
  <c r="O61" i="7" s="1"/>
  <c r="M60" i="7"/>
  <c r="O60" i="7" s="1"/>
  <c r="M59" i="7"/>
  <c r="O59" i="7" s="1"/>
  <c r="M58" i="7"/>
  <c r="O58" i="7" s="1"/>
  <c r="M57" i="7"/>
  <c r="O57" i="7" s="1"/>
  <c r="M56" i="7"/>
  <c r="O56" i="7" s="1"/>
  <c r="M55" i="7"/>
  <c r="O55" i="7" s="1"/>
  <c r="M54" i="7"/>
  <c r="O54" i="7" s="1"/>
  <c r="M53" i="7"/>
  <c r="O53" i="7" s="1"/>
  <c r="M52" i="7"/>
  <c r="O52" i="7" s="1"/>
  <c r="M51" i="7"/>
  <c r="O51" i="7" s="1"/>
  <c r="M50" i="7"/>
  <c r="O50" i="7" s="1"/>
  <c r="M49" i="7"/>
  <c r="O49" i="7" s="1"/>
  <c r="M48" i="7"/>
  <c r="O48" i="7" s="1"/>
  <c r="M47" i="7"/>
  <c r="O47" i="7" s="1"/>
  <c r="M46" i="7"/>
  <c r="O46" i="7" s="1"/>
  <c r="M45" i="7"/>
  <c r="O45" i="7" s="1"/>
  <c r="M44" i="7"/>
  <c r="O44" i="7" s="1"/>
  <c r="M43" i="7"/>
  <c r="O43" i="7" s="1"/>
  <c r="M42" i="7"/>
  <c r="O42" i="7" s="1"/>
  <c r="M41" i="7"/>
  <c r="O41" i="7" s="1"/>
  <c r="M40" i="7"/>
  <c r="O40" i="7" s="1"/>
  <c r="M39" i="7"/>
  <c r="O39" i="7" s="1"/>
  <c r="M38" i="7"/>
  <c r="O38" i="7" s="1"/>
  <c r="M37" i="7"/>
  <c r="O37" i="7" s="1"/>
  <c r="M36" i="7"/>
  <c r="O36" i="7" s="1"/>
  <c r="M35" i="7"/>
  <c r="O35" i="7" s="1"/>
  <c r="M34" i="7"/>
  <c r="O34" i="7" s="1"/>
  <c r="M33" i="7"/>
  <c r="O33" i="7" s="1"/>
  <c r="M32" i="7"/>
  <c r="O32" i="7" s="1"/>
  <c r="M31" i="7"/>
  <c r="O31" i="7" s="1"/>
  <c r="M30" i="7"/>
  <c r="O30" i="7" s="1"/>
  <c r="M29" i="7"/>
  <c r="O29" i="7" s="1"/>
  <c r="M28" i="7"/>
  <c r="O28" i="7" s="1"/>
  <c r="M27" i="7"/>
  <c r="O27" i="7" s="1"/>
  <c r="M26" i="7"/>
  <c r="O26" i="7" s="1"/>
  <c r="M25" i="7"/>
  <c r="O25" i="7" s="1"/>
  <c r="M24" i="7"/>
  <c r="O24" i="7" s="1"/>
  <c r="M23" i="7"/>
  <c r="O23" i="7" s="1"/>
  <c r="M22" i="7"/>
  <c r="O22" i="7" s="1"/>
  <c r="M21" i="7"/>
  <c r="O21" i="7" s="1"/>
  <c r="M20" i="7"/>
  <c r="O20" i="7" s="1"/>
  <c r="M19" i="7"/>
  <c r="O19" i="7" s="1"/>
  <c r="M18" i="7"/>
  <c r="O18" i="7" s="1"/>
  <c r="M17" i="7"/>
  <c r="O17" i="7" s="1"/>
  <c r="M16" i="7"/>
  <c r="O16" i="7" s="1"/>
  <c r="M15" i="7"/>
  <c r="O15" i="7" s="1"/>
  <c r="M14" i="7"/>
  <c r="O14" i="7" s="1"/>
  <c r="M13" i="7"/>
  <c r="O13" i="7" s="1"/>
  <c r="M12" i="7"/>
  <c r="O12" i="7" s="1"/>
  <c r="M11" i="7"/>
  <c r="O11" i="7" s="1"/>
  <c r="M10" i="7"/>
  <c r="O10" i="7" s="1"/>
  <c r="O8" i="7"/>
  <c r="M9" i="7"/>
  <c r="O9" i="7" s="1"/>
  <c r="M8" i="7"/>
  <c r="M7" i="7"/>
  <c r="O7" i="7" s="1"/>
  <c r="M6" i="7"/>
  <c r="O6" i="7" s="1"/>
  <c r="M5" i="7"/>
  <c r="O5" i="7" s="1"/>
  <c r="M4" i="7"/>
  <c r="O4" i="7" s="1"/>
  <c r="M3" i="7"/>
  <c r="O3" i="7" s="1"/>
  <c r="M2" i="7"/>
  <c r="O2" i="7" s="1"/>
  <c r="K62" i="8"/>
  <c r="K61" i="8"/>
  <c r="K60" i="8"/>
  <c r="K59" i="8"/>
  <c r="K58" i="8"/>
  <c r="K57" i="8"/>
  <c r="K56" i="8"/>
  <c r="K55" i="8"/>
  <c r="K54" i="8"/>
  <c r="K53" i="8"/>
  <c r="K52" i="8"/>
  <c r="K46" i="8"/>
  <c r="K47" i="8"/>
  <c r="K48" i="8"/>
  <c r="K49" i="8"/>
  <c r="K50" i="8"/>
  <c r="K51" i="8"/>
  <c r="K45" i="8"/>
  <c r="K44" i="8"/>
  <c r="K42" i="8"/>
  <c r="K43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3" i="8"/>
  <c r="K4" i="8"/>
  <c r="K5" i="8"/>
  <c r="K6" i="8"/>
  <c r="K7" i="8"/>
  <c r="K8" i="8"/>
  <c r="K9" i="8"/>
  <c r="K2" i="8"/>
  <c r="L4" i="2"/>
  <c r="L2" i="6" l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2" i="3"/>
  <c r="L2" i="2"/>
  <c r="L3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</calcChain>
</file>

<file path=xl/sharedStrings.xml><?xml version="1.0" encoding="utf-8"?>
<sst xmlns="http://schemas.openxmlformats.org/spreadsheetml/2006/main" count="16176" uniqueCount="3424">
  <si>
    <t>JDC - System Name</t>
  </si>
  <si>
    <t>JDC - Breaker Name</t>
  </si>
  <si>
    <t>KWO-DH211-USS-7A</t>
  </si>
  <si>
    <t>UCB</t>
  </si>
  <si>
    <t>KWO-DH211-SW7A</t>
  </si>
  <si>
    <t>MIB01 (now MCB01)</t>
  </si>
  <si>
    <t>DP-7A-1</t>
  </si>
  <si>
    <t>DP-7A-2</t>
  </si>
  <si>
    <t>SPARE</t>
  </si>
  <si>
    <t>SPACE</t>
  </si>
  <si>
    <t>CH-7A</t>
  </si>
  <si>
    <t>MUPS-RIB</t>
  </si>
  <si>
    <t>MUPS-BIB</t>
  </si>
  <si>
    <t>UPS-7A-2</t>
  </si>
  <si>
    <t>(incoming bus meter)</t>
  </si>
  <si>
    <t>KWO-DH211-UP7A</t>
  </si>
  <si>
    <t>MBB</t>
  </si>
  <si>
    <t>MIB</t>
  </si>
  <si>
    <t>UP (UP2-7A)</t>
  </si>
  <si>
    <t>BUS-7A-1</t>
  </si>
  <si>
    <t>BUS-7A-2</t>
  </si>
  <si>
    <t>BUS-7A-3</t>
  </si>
  <si>
    <t>BUS-7A-4</t>
  </si>
  <si>
    <t>BUS-7A-5</t>
  </si>
  <si>
    <t>BUS-7A-6</t>
  </si>
  <si>
    <t>UOB-7A-1</t>
  </si>
  <si>
    <t>(Critical bus meter)</t>
  </si>
  <si>
    <t>(for transformer points)</t>
  </si>
  <si>
    <t>(for EPMS to read PLC ID 1)</t>
  </si>
  <si>
    <t>(so PLC can read CBs)</t>
  </si>
  <si>
    <t>KWO-DH211-MECH-ODP-7A</t>
  </si>
  <si>
    <t>UOB</t>
  </si>
  <si>
    <t>FCB01 (MU4-6A-1)</t>
  </si>
  <si>
    <t>FCB02 (MU4-6A-2)</t>
  </si>
  <si>
    <t>FCB03 (CHWP-24)</t>
  </si>
  <si>
    <t>FCB04 (CHWP-16 VIA ATS)</t>
  </si>
  <si>
    <t>FCB05 (CHWP-17 VIA ATS)</t>
  </si>
  <si>
    <t>FCB06 (CHWP-20 VIA ATS)</t>
  </si>
  <si>
    <t>FCB07 (CHWP-29 VIA ATS)</t>
  </si>
  <si>
    <t>AHF</t>
  </si>
  <si>
    <t>(mech critical bus meter)</t>
  </si>
  <si>
    <t>KWO-DH211-USS-7B</t>
  </si>
  <si>
    <t>KWO-DH211-SW7B</t>
  </si>
  <si>
    <t>DP-7B-1</t>
  </si>
  <si>
    <t>DP-7B-2</t>
  </si>
  <si>
    <t>CH-7B</t>
  </si>
  <si>
    <t>UPS-7B-2</t>
  </si>
  <si>
    <t>KWO-DH211-UP7B</t>
  </si>
  <si>
    <t>UP (UP2-7B)</t>
  </si>
  <si>
    <t>BUS-7B-1</t>
  </si>
  <si>
    <t>BUS-7B-2</t>
  </si>
  <si>
    <t>BUS-7B-3</t>
  </si>
  <si>
    <t>BUS-7B-4</t>
  </si>
  <si>
    <t>BUS-7B-5</t>
  </si>
  <si>
    <t>BUS-7B-6</t>
  </si>
  <si>
    <t>UOB-7B-1</t>
  </si>
  <si>
    <t>KWO-DH211-MECH-ODP-7B</t>
  </si>
  <si>
    <t>FCB03 (CHWP-25)</t>
  </si>
  <si>
    <t>FCB04 (CHWP-18 VIA ATS)</t>
  </si>
  <si>
    <t>FCB05 (CHWP-19 VIA ATS)</t>
  </si>
  <si>
    <t>FCB06 (CHWP-16 VIA ATS)</t>
  </si>
  <si>
    <t>FCB07 (CHWP-22 VIA ATS)</t>
  </si>
  <si>
    <t>KWO-DH211-USS-7C</t>
  </si>
  <si>
    <t>KWO-DH211-SW7C</t>
  </si>
  <si>
    <t>DP-7C-1</t>
  </si>
  <si>
    <t>DP-7C-2</t>
  </si>
  <si>
    <t>CH-7C</t>
  </si>
  <si>
    <t>UPS-7C-2</t>
  </si>
  <si>
    <t>KWO-DH211-UP7C</t>
  </si>
  <si>
    <t>UP (UP2-7C)</t>
  </si>
  <si>
    <t>???</t>
  </si>
  <si>
    <t>BUS-7C-1</t>
  </si>
  <si>
    <t>BUS-7C-2</t>
  </si>
  <si>
    <t>BUS-7C-3</t>
  </si>
  <si>
    <t>BUS-7C-4</t>
  </si>
  <si>
    <t>BUS-7C-5</t>
  </si>
  <si>
    <t>BUS-7C-6</t>
  </si>
  <si>
    <t>UOB-7C-1</t>
  </si>
  <si>
    <t>KWO-DH211-MECH-ODP-7C</t>
  </si>
  <si>
    <t>FCB03 (CHWP-26)</t>
  </si>
  <si>
    <t>FCB04 (CHWP-20 VIA ATS)</t>
  </si>
  <si>
    <t>FCB05 (CHWP-21 VIA ATS)</t>
  </si>
  <si>
    <t>FCB06 (CHWP-17 VIA ATS)</t>
  </si>
  <si>
    <t>FCB07 (CHWP-28 VIA ATS)</t>
  </si>
  <si>
    <t>KWO-DH211-USS-7D</t>
  </si>
  <si>
    <t>KWO-DH211-SW7D</t>
  </si>
  <si>
    <t>DP-7D-1</t>
  </si>
  <si>
    <t>DP-7D-2</t>
  </si>
  <si>
    <t>CH-7D</t>
  </si>
  <si>
    <t>UPS-7D-2</t>
  </si>
  <si>
    <t>KWO-DH211-UP7D</t>
  </si>
  <si>
    <t>UP (UP2-7D)</t>
  </si>
  <si>
    <t>BUS-7D-1</t>
  </si>
  <si>
    <t>BUS-7D-2</t>
  </si>
  <si>
    <t>BUS-7D-3</t>
  </si>
  <si>
    <t>BUS-7D-4</t>
  </si>
  <si>
    <t>BUS-7D-5</t>
  </si>
  <si>
    <t>BUS-7D-6</t>
  </si>
  <si>
    <t>UOB-7D-1</t>
  </si>
  <si>
    <t>KWO-DH211-MECH-ODP-7D</t>
  </si>
  <si>
    <t>FCB03 (CHWP-27)</t>
  </si>
  <si>
    <t>FCB04 (CHWP-22 VIA ATS)</t>
  </si>
  <si>
    <t>FCB05 (CHWP-23 VIA ATS)</t>
  </si>
  <si>
    <t>FCB06 (CHWP-18 VIA ATS)</t>
  </si>
  <si>
    <t>FCB07 (CHWP-21 VIA ATS)</t>
  </si>
  <si>
    <t>KWO-DH211-USS-7E</t>
  </si>
  <si>
    <t>KWO-DH211-SW7E</t>
  </si>
  <si>
    <t>DP-7E-1</t>
  </si>
  <si>
    <t>DP-7E-2</t>
  </si>
  <si>
    <t>CH-7E</t>
  </si>
  <si>
    <t>UPS-7E-2</t>
  </si>
  <si>
    <t>KWO-DH211-UP7E</t>
  </si>
  <si>
    <t>UP (UP2-7E)</t>
  </si>
  <si>
    <t>BUS-7E-1</t>
  </si>
  <si>
    <t>BUS-7E-2</t>
  </si>
  <si>
    <t>BUS-7E-3</t>
  </si>
  <si>
    <t>BUS-7E-4</t>
  </si>
  <si>
    <t>UOB-7E-1</t>
  </si>
  <si>
    <t>KWO-DH211-MECH-ODP-7E</t>
  </si>
  <si>
    <t>FCB03 (CHWP-28 VIA ATS)</t>
  </si>
  <si>
    <t>FCB04 (CHWP-29 VIA ATS)</t>
  </si>
  <si>
    <t>FCB06 (CHWP-23 VIA ATS)</t>
  </si>
  <si>
    <t>FCB07 (SPARE)</t>
  </si>
  <si>
    <t>KWO-DH311-T-ATS-U-1A</t>
  </si>
  <si>
    <t>KWO-DH311-SW1A</t>
  </si>
  <si>
    <t>MIB02 (now MCB02)</t>
  </si>
  <si>
    <t>DP (P4-1A)</t>
  </si>
  <si>
    <t>CH-1A</t>
  </si>
  <si>
    <t>UPS-1A-1</t>
  </si>
  <si>
    <t>UPS-1A-2</t>
  </si>
  <si>
    <t>KWO-DH311-UP1A</t>
  </si>
  <si>
    <t>BUS-1A-1</t>
  </si>
  <si>
    <t>BUS-1A-2</t>
  </si>
  <si>
    <t>BUS-1A-3</t>
  </si>
  <si>
    <t>BUS-1A-4</t>
  </si>
  <si>
    <t>BUS-1A-5</t>
  </si>
  <si>
    <t>BUS-1A-6</t>
  </si>
  <si>
    <t>BUS-1A-7</t>
  </si>
  <si>
    <t>BUS-1A-8</t>
  </si>
  <si>
    <t>UOB-1A-2</t>
  </si>
  <si>
    <t>UOB-1A-1</t>
  </si>
  <si>
    <t>KWO-DH311-T-ATS-U-1B</t>
  </si>
  <si>
    <t>KWO-DH311-SW1B</t>
  </si>
  <si>
    <t>DP (P4-1B)</t>
  </si>
  <si>
    <t>CH-1B</t>
  </si>
  <si>
    <t>UPS-1B-1</t>
  </si>
  <si>
    <t>UPS-1B-2</t>
  </si>
  <si>
    <t>KWO-DH311-UP1B</t>
  </si>
  <si>
    <t>BUS-1B-1</t>
  </si>
  <si>
    <t>BUS-1B-2</t>
  </si>
  <si>
    <t>BUS-1B-3</t>
  </si>
  <si>
    <t>BUS-1B-4</t>
  </si>
  <si>
    <t>BUS-1B-5</t>
  </si>
  <si>
    <t>BUS-1B-6</t>
  </si>
  <si>
    <t>BUS-1B-7</t>
  </si>
  <si>
    <t>BUS-1B-8</t>
  </si>
  <si>
    <t>UOB-1B-2</t>
  </si>
  <si>
    <t>UOB-1B-1</t>
  </si>
  <si>
    <t>KWO-DH311-T-ATS-U-1C</t>
  </si>
  <si>
    <t>KWO-DH311-SW1C</t>
  </si>
  <si>
    <t>DP (P4-1C)</t>
  </si>
  <si>
    <t>CH-1C</t>
  </si>
  <si>
    <t>UPS-1C-1</t>
  </si>
  <si>
    <t>UPS-1C-2</t>
  </si>
  <si>
    <t>KWO-DH311-UP1C</t>
  </si>
  <si>
    <t>BUS-1C-1</t>
  </si>
  <si>
    <t>BUS-1C-2</t>
  </si>
  <si>
    <t>BUS-1C-3</t>
  </si>
  <si>
    <t>BUS-1C-4</t>
  </si>
  <si>
    <t>BUS-1C-5</t>
  </si>
  <si>
    <t>BUS-1C-6</t>
  </si>
  <si>
    <t>BUS-1C-7</t>
  </si>
  <si>
    <t>BUS-1C-8</t>
  </si>
  <si>
    <t>UOB-1C-2</t>
  </si>
  <si>
    <t>UOB-1C-1</t>
  </si>
  <si>
    <t>KWO-DH311-T-ATS-U-1D</t>
  </si>
  <si>
    <t>KWO-DH311-SW1D</t>
  </si>
  <si>
    <t>DP (P4-1D)</t>
  </si>
  <si>
    <t>CH-1D</t>
  </si>
  <si>
    <t>UPS-1D-1</t>
  </si>
  <si>
    <t>UPS-1D-2</t>
  </si>
  <si>
    <t>KWO-DH311-UP1D</t>
  </si>
  <si>
    <t>BUS-1D-1</t>
  </si>
  <si>
    <t>BUS-1D-2</t>
  </si>
  <si>
    <t>BUS-1D-3</t>
  </si>
  <si>
    <t>BUS-1D-4</t>
  </si>
  <si>
    <t>BUS-1D-5</t>
  </si>
  <si>
    <t>BUS-1D-6</t>
  </si>
  <si>
    <t>BUS-1D-7</t>
  </si>
  <si>
    <t>BUS-1D-8</t>
  </si>
  <si>
    <t>UOB-1D-2</t>
  </si>
  <si>
    <t>UOB-1D-1</t>
  </si>
  <si>
    <t>KWO11-T-ATS-U-H1</t>
  </si>
  <si>
    <t>FP PROVISIONS</t>
  </si>
  <si>
    <t>KWO-11-SWH1</t>
  </si>
  <si>
    <t>DP4-H2-10</t>
  </si>
  <si>
    <t>DP-H1</t>
  </si>
  <si>
    <t>DP4-H2-30</t>
  </si>
  <si>
    <t>UPS-H1</t>
  </si>
  <si>
    <t>UPS-H1-BYP</t>
  </si>
  <si>
    <t>KWO-11-UP-H1-1</t>
  </si>
  <si>
    <t>FCB01 (T30UH1)</t>
  </si>
  <si>
    <t>FCB02 (T30UH2)</t>
  </si>
  <si>
    <t>FCB03 (KWO-11-UDP-H1)</t>
  </si>
  <si>
    <t>NOT JDC</t>
  </si>
  <si>
    <t>KWO-DH311-T-ATS-U-2A</t>
  </si>
  <si>
    <t>KWO-DH311-SW2A</t>
  </si>
  <si>
    <t>DP (P4-2A)</t>
  </si>
  <si>
    <t>CH-2A</t>
  </si>
  <si>
    <t>UPS-2A-1</t>
  </si>
  <si>
    <t>UPS-2A-2</t>
  </si>
  <si>
    <t>KWO-DH311-UP2A</t>
  </si>
  <si>
    <t>BUS-2A-1</t>
  </si>
  <si>
    <t>BUS-2A-2</t>
  </si>
  <si>
    <t>BUS-2A-3</t>
  </si>
  <si>
    <t>BUS-2A-4</t>
  </si>
  <si>
    <t>BUS-2A-5</t>
  </si>
  <si>
    <t>BUS-2A-6</t>
  </si>
  <si>
    <t>BUS-2A-7</t>
  </si>
  <si>
    <t>BUS-2A-8</t>
  </si>
  <si>
    <t>UOB-2A-2</t>
  </si>
  <si>
    <t>UOB-2A-1</t>
  </si>
  <si>
    <t>KWO-DH311-T-ATS-U-2B</t>
  </si>
  <si>
    <t>KWO-DH311-SW2B</t>
  </si>
  <si>
    <t>DP (P4-2B)</t>
  </si>
  <si>
    <t>CH-2B</t>
  </si>
  <si>
    <t>UPS-2B-1</t>
  </si>
  <si>
    <t>UPS-2B-2</t>
  </si>
  <si>
    <t>KWO-DH311-UP2B</t>
  </si>
  <si>
    <t>BUS-2B-1</t>
  </si>
  <si>
    <t>BUS-2B-2</t>
  </si>
  <si>
    <t>BUS-2B-3</t>
  </si>
  <si>
    <t>BUS-2B-4</t>
  </si>
  <si>
    <t>BUS-2B-5</t>
  </si>
  <si>
    <t>BUS-2B-6</t>
  </si>
  <si>
    <t>BUS-2B-7</t>
  </si>
  <si>
    <t>BUS-2B-8</t>
  </si>
  <si>
    <t>UOB-2B-2</t>
  </si>
  <si>
    <t>UOB-2B-1</t>
  </si>
  <si>
    <t>KWO-DH311-T-ATS-U-2C</t>
  </si>
  <si>
    <t>KWO-DH311-SW2C</t>
  </si>
  <si>
    <t>DP (P4-2C)</t>
  </si>
  <si>
    <t>CH-2C</t>
  </si>
  <si>
    <t>UPS-2C-1</t>
  </si>
  <si>
    <t>UPS-2C-2</t>
  </si>
  <si>
    <t>KWO-DH311-UP2C</t>
  </si>
  <si>
    <t>BUS-2C-1</t>
  </si>
  <si>
    <t>BUS-2C-2</t>
  </si>
  <si>
    <t>BUS-2C-3</t>
  </si>
  <si>
    <t>BUS-2C-4</t>
  </si>
  <si>
    <t>BUS-2C-5</t>
  </si>
  <si>
    <t>BUS-2C-6</t>
  </si>
  <si>
    <t>BUS-2C-7</t>
  </si>
  <si>
    <t>BUS-2C-8</t>
  </si>
  <si>
    <t>UOB-2C-2</t>
  </si>
  <si>
    <t>UOB-2C-1</t>
  </si>
  <si>
    <t>KWO-DH311-T-ATS-U-2D</t>
  </si>
  <si>
    <t>KWO-DH311-SW2D</t>
  </si>
  <si>
    <t>DP (P4-2D)</t>
  </si>
  <si>
    <t>CH-2D</t>
  </si>
  <si>
    <t>UPS-2D-1</t>
  </si>
  <si>
    <t>UPS-2D-2</t>
  </si>
  <si>
    <t>KWO-DH311-UP2D</t>
  </si>
  <si>
    <t>BUS-2D-1</t>
  </si>
  <si>
    <t>BUS-2D-2</t>
  </si>
  <si>
    <t>BUS-2D-3</t>
  </si>
  <si>
    <t>BUS-2D-4</t>
  </si>
  <si>
    <t>BUS-2D-5</t>
  </si>
  <si>
    <t>BUS-2D-6</t>
  </si>
  <si>
    <t>BUS-2D-7</t>
  </si>
  <si>
    <t>BUS-2D-8</t>
  </si>
  <si>
    <t>UOB-2D-2</t>
  </si>
  <si>
    <t>UOB-2D-1</t>
  </si>
  <si>
    <t>KWO-DH311-T-ATS-U-6A</t>
  </si>
  <si>
    <t>KWO-DH311-SW6A</t>
  </si>
  <si>
    <t>KWO-DH311-UP6A</t>
  </si>
  <si>
    <t>DP-6A-1</t>
  </si>
  <si>
    <t>DP-6A-2</t>
  </si>
  <si>
    <t>CH-6A</t>
  </si>
  <si>
    <t>UPS-6A-1</t>
  </si>
  <si>
    <t>UP (UP2-6A)</t>
  </si>
  <si>
    <t>BUS-6A-1</t>
  </si>
  <si>
    <t>BUS-6A-2</t>
  </si>
  <si>
    <t>BUS-6A-3</t>
  </si>
  <si>
    <t>BUS-6A-4</t>
  </si>
  <si>
    <t>BUS-6A-5</t>
  </si>
  <si>
    <t>BUS-6A-6</t>
  </si>
  <si>
    <t>UOB-6A-1</t>
  </si>
  <si>
    <t>KWO-DH311-MECH-ODP-6A</t>
  </si>
  <si>
    <t>FCB03 (CHWP-12)</t>
  </si>
  <si>
    <t>FCB04 (CHWP-4 VIA ATS)</t>
  </si>
  <si>
    <t>FCB05 (CHWP-5 VIA ATS)</t>
  </si>
  <si>
    <t>FCB06 (CHWP-9 VIA ATS)</t>
  </si>
  <si>
    <t>FCB07 (CHWP-10 VIA ATS)</t>
  </si>
  <si>
    <t>KWO-DH311-T-ATS-U-6B</t>
  </si>
  <si>
    <t>KWO-DH311-SW6B</t>
  </si>
  <si>
    <t>KWO-DH311-UP6B</t>
  </si>
  <si>
    <t>DP-6B-1</t>
  </si>
  <si>
    <t>DP-6B-2</t>
  </si>
  <si>
    <t>CH-6B</t>
  </si>
  <si>
    <t>UPS-6B-1</t>
  </si>
  <si>
    <t>UP (UP2-6B)</t>
  </si>
  <si>
    <t>BUS-6B-1</t>
  </si>
  <si>
    <t>BUS-6B-2</t>
  </si>
  <si>
    <t>BUS-6B-3</t>
  </si>
  <si>
    <t>BUS-6B-4</t>
  </si>
  <si>
    <t>BUS-6B-5</t>
  </si>
  <si>
    <t>BUS-6B-6</t>
  </si>
  <si>
    <t>UOB-6B-1</t>
  </si>
  <si>
    <t>KWO-DH311-MECH-ODP-6B</t>
  </si>
  <si>
    <t>FCB01 (MU4-6B-1)</t>
  </si>
  <si>
    <t>FCB02 (MU4-6B-2)</t>
  </si>
  <si>
    <t>FCB03 (CHWP-13)</t>
  </si>
  <si>
    <t>FCB04 (CHWP-6 VIA ATS)</t>
  </si>
  <si>
    <t>FCB05 (CHWP-7 VIA ATS)</t>
  </si>
  <si>
    <t>FCB06 (CHWP-4 VIA ATS)</t>
  </si>
  <si>
    <t>FCB07 (CHWP-14 VIA ATS)</t>
  </si>
  <si>
    <t>KWO-DH311-T-ATS-U-6C</t>
  </si>
  <si>
    <t>KWO-DH311-SW6C</t>
  </si>
  <si>
    <t>KWO-DH311-UP6C</t>
  </si>
  <si>
    <t>DP-6C-1</t>
  </si>
  <si>
    <t>DP-6C-2</t>
  </si>
  <si>
    <t>CH-6C</t>
  </si>
  <si>
    <t>UPS-6C-1</t>
  </si>
  <si>
    <t>UP (UP2-6C)</t>
  </si>
  <si>
    <t>BUS-6C-1</t>
  </si>
  <si>
    <t>BUS-6C-2</t>
  </si>
  <si>
    <t>BUS-6C-3</t>
  </si>
  <si>
    <t>BUS-6C-4</t>
  </si>
  <si>
    <t>BUS-6C-5</t>
  </si>
  <si>
    <t>UOB-6C-1</t>
  </si>
  <si>
    <t>KWO-DH311-MECH-ODP-6C</t>
  </si>
  <si>
    <t>FCB01 (MU4-6C-1)</t>
  </si>
  <si>
    <t>FCB02 (MU4-6C-2)</t>
  </si>
  <si>
    <t>FCB03 (CHWP-1)</t>
  </si>
  <si>
    <t>FCB04 (CHWP-8 VIA ATS)</t>
  </si>
  <si>
    <t>FCB05 (CHWP-9 VIA ATS)</t>
  </si>
  <si>
    <t>FCB06 (CHWP-5 VIA ATS)</t>
  </si>
  <si>
    <t>FCB07 (CHWP-15 VIA ATS)</t>
  </si>
  <si>
    <t>KWO-DH311-T-ATS-U-6D</t>
  </si>
  <si>
    <t>KWO-DH311-SW6D</t>
  </si>
  <si>
    <t>KWO-DH311-UP6D</t>
  </si>
  <si>
    <t>DP-6D-1</t>
  </si>
  <si>
    <t>DP-6D-2</t>
  </si>
  <si>
    <t>CH-6D</t>
  </si>
  <si>
    <t>UPS-6D-1</t>
  </si>
  <si>
    <t>UP (UP2-6D)</t>
  </si>
  <si>
    <t>BUS-6D-1</t>
  </si>
  <si>
    <t>BUS-6D-2</t>
  </si>
  <si>
    <t>BUS-6D-3</t>
  </si>
  <si>
    <t>BUS-6D-4</t>
  </si>
  <si>
    <t>BUS-6D-5</t>
  </si>
  <si>
    <t>UOB-6D-1</t>
  </si>
  <si>
    <t>KWO-DH311-MECH-ODP-6D</t>
  </si>
  <si>
    <t>FCB01 (MU4-6D-1)</t>
  </si>
  <si>
    <t>FCB02 (MU4-6D-2)</t>
  </si>
  <si>
    <t>FCB03 (CHWP-2)</t>
  </si>
  <si>
    <t>FCB04 (CHWP-10 VIA ATS)</t>
  </si>
  <si>
    <t>FCB05 (CHWP-11 VIA ATS)</t>
  </si>
  <si>
    <t>FCB06 (CHWP-6 VIA ATS)</t>
  </si>
  <si>
    <t>FCB07 (CHWP-8 VIA ATS)</t>
  </si>
  <si>
    <t>KWO-DH311-T-ATS-U-6E</t>
  </si>
  <si>
    <t>KWO-DH311-SW6E</t>
  </si>
  <si>
    <t>KWO-DH311-UP6E</t>
  </si>
  <si>
    <t>DP-6E-1</t>
  </si>
  <si>
    <t>DP-6E-2</t>
  </si>
  <si>
    <t>CH-6E</t>
  </si>
  <si>
    <t>UPS-6E-1</t>
  </si>
  <si>
    <t>UP (UP2-6E)</t>
  </si>
  <si>
    <t>BUS-6E-1</t>
  </si>
  <si>
    <t>BUS-6E-2</t>
  </si>
  <si>
    <t>BUS-6E-3</t>
  </si>
  <si>
    <t>BUS-6E-4</t>
  </si>
  <si>
    <t>BUS-6E-5</t>
  </si>
  <si>
    <t>BUS-6E-6</t>
  </si>
  <si>
    <t>UOB-6E-1</t>
  </si>
  <si>
    <t>KWO-DH311-MECH-ODP-6E</t>
  </si>
  <si>
    <t>FCB01 (MU4-6E-1)</t>
  </si>
  <si>
    <t>FCB02 (MU4-6E-2)</t>
  </si>
  <si>
    <t>FCB03 (CHWP-3)</t>
  </si>
  <si>
    <t>FCB04 (CHWP-14 VIA ATS)</t>
  </si>
  <si>
    <t>FCB05 (CHWP-15 VIA ATS)</t>
  </si>
  <si>
    <t>FCB06 (CHWP-7 VIA ATS)</t>
  </si>
  <si>
    <t>FCB07 (CHWP-11 VIA ATS)</t>
  </si>
  <si>
    <t>KWO11-SWGR-UA1</t>
  </si>
  <si>
    <t>MCB01 (incoming)</t>
  </si>
  <si>
    <t>FCB01 (ring 6x)</t>
  </si>
  <si>
    <t>FCB02 (ring 2x)</t>
  </si>
  <si>
    <t>FCB03 (ring 1x + H1)</t>
  </si>
  <si>
    <t>KWO11-SWGR-UB1</t>
  </si>
  <si>
    <t>KWO-11-SWGR-UA2</t>
  </si>
  <si>
    <t>MCB01</t>
  </si>
  <si>
    <t>MCB02</t>
  </si>
  <si>
    <t>FCB01 (re-feed ring 1x)</t>
  </si>
  <si>
    <t>FCB02 (re-feed ring 2x)</t>
  </si>
  <si>
    <t>FCB03 (re-feed UA1)</t>
  </si>
  <si>
    <t>FCB04 (KWO11-MV-XFMR-A1)</t>
  </si>
  <si>
    <t>FCB05 (KWO11-MV-XFMR-A2)</t>
  </si>
  <si>
    <t>KWO-11-SWGR-UB2</t>
  </si>
  <si>
    <t>FCB03 (re-feed UB1)</t>
  </si>
  <si>
    <t>FCB04 (KWO11-MV-XFMR-B1)</t>
  </si>
  <si>
    <t>FCB05 (KWO11-MV-XFMR-B2)</t>
  </si>
  <si>
    <t>KWO-11-MVSWGR-A1</t>
  </si>
  <si>
    <t>MCB</t>
  </si>
  <si>
    <t>FCB01 (3B)</t>
  </si>
  <si>
    <t>FCB02 (4A)</t>
  </si>
  <si>
    <t>FCB03 (7A)</t>
  </si>
  <si>
    <t>FCB04 (7B)</t>
  </si>
  <si>
    <t>FCB05 (7C)</t>
  </si>
  <si>
    <t>FCB06 (SPARE)</t>
  </si>
  <si>
    <t>KWO-11-MVSWGR-B1</t>
  </si>
  <si>
    <t>FCB01 (5B)</t>
  </si>
  <si>
    <t>FCB02 (7E)</t>
  </si>
  <si>
    <t>FCB03 (7D)</t>
  </si>
  <si>
    <t>FCB04 (3D)</t>
  </si>
  <si>
    <t>FCB05 (SPARE)</t>
  </si>
  <si>
    <t>KWO-11-MVSWGR-A2</t>
  </si>
  <si>
    <t>FCB01 (4B)</t>
  </si>
  <si>
    <t>FCB02 (3C)</t>
  </si>
  <si>
    <t>FCB03 (5C)</t>
  </si>
  <si>
    <t>FCB04 (5D)</t>
  </si>
  <si>
    <t>KWO-11-MVSWGR-B2</t>
  </si>
  <si>
    <t>FCB01 (4C)</t>
  </si>
  <si>
    <t>FCB02 (4D)</t>
  </si>
  <si>
    <t>FCB03 (3A)</t>
  </si>
  <si>
    <t>FCB04 (5A)</t>
  </si>
  <si>
    <t>KWO-DH211-USS-3A</t>
  </si>
  <si>
    <t>KWO-DH211-SW3A</t>
  </si>
  <si>
    <t>CH-3A</t>
  </si>
  <si>
    <t>DP (P4-3A)</t>
  </si>
  <si>
    <t>UPS-3A-1</t>
  </si>
  <si>
    <t>UPS-3A-2</t>
  </si>
  <si>
    <t>KWO-DH211-UP3A</t>
  </si>
  <si>
    <t>BUS-3A-1</t>
  </si>
  <si>
    <t>BUS-3A-2</t>
  </si>
  <si>
    <t>BUS-3A-3</t>
  </si>
  <si>
    <t>BUS-3A-4</t>
  </si>
  <si>
    <t>BUS-3A-5</t>
  </si>
  <si>
    <t>BUS-3A-6</t>
  </si>
  <si>
    <t>BUS-3A-7</t>
  </si>
  <si>
    <t>BUS-3A-8</t>
  </si>
  <si>
    <t>UOB-3A-1</t>
  </si>
  <si>
    <t>UOB-3A-2</t>
  </si>
  <si>
    <t>KWO-DH211-USS-3B</t>
  </si>
  <si>
    <t>KWO-DH211-SW3B</t>
  </si>
  <si>
    <t>CH-3B</t>
  </si>
  <si>
    <t>DP (P4-3B)</t>
  </si>
  <si>
    <t>UPS-3B-1</t>
  </si>
  <si>
    <t>UPS-3B-2</t>
  </si>
  <si>
    <t>KWO-DH211-UP3B</t>
  </si>
  <si>
    <t>BUS-3B-1</t>
  </si>
  <si>
    <t>BUS-3B-2</t>
  </si>
  <si>
    <t>BUS-3B-3</t>
  </si>
  <si>
    <t>BUS-3B-4</t>
  </si>
  <si>
    <t>BUS-3B-5</t>
  </si>
  <si>
    <t>BUS-3B-6</t>
  </si>
  <si>
    <t>BUS-3B-7</t>
  </si>
  <si>
    <t>BUS-3B-8</t>
  </si>
  <si>
    <t>UOB-3B-1</t>
  </si>
  <si>
    <t>UOB-3B-2</t>
  </si>
  <si>
    <t>KWO-DH211-USS-3C</t>
  </si>
  <si>
    <t>KWO-DH211-SW3C</t>
  </si>
  <si>
    <t>CH-3C</t>
  </si>
  <si>
    <t>DP (P4-3C)</t>
  </si>
  <si>
    <t>UPS-3C-1</t>
  </si>
  <si>
    <t>UPS-3C-2</t>
  </si>
  <si>
    <t>KWO-DH211-UP3C</t>
  </si>
  <si>
    <t>BUS-3C-1</t>
  </si>
  <si>
    <t>BUS-3C-2</t>
  </si>
  <si>
    <t>BUS-3C-3</t>
  </si>
  <si>
    <t>BUS-3C-4</t>
  </si>
  <si>
    <t>BUS-3C-5</t>
  </si>
  <si>
    <t>BUS-3C-6</t>
  </si>
  <si>
    <t>BUS-3C-7</t>
  </si>
  <si>
    <t>BUS-3C-8</t>
  </si>
  <si>
    <t>UOB-3C-1</t>
  </si>
  <si>
    <t>UOB-3C-2</t>
  </si>
  <si>
    <t>KWO-DH211-USS-3D</t>
  </si>
  <si>
    <t>KWO-DH211-SW3D</t>
  </si>
  <si>
    <t>CH-3D</t>
  </si>
  <si>
    <t>DP (P4-3D)</t>
  </si>
  <si>
    <t>UPS-3D-1</t>
  </si>
  <si>
    <t>UPS-3D-2</t>
  </si>
  <si>
    <t>KWO-DH211-UP3D</t>
  </si>
  <si>
    <t>BUS-3D-1</t>
  </si>
  <si>
    <t>BUS-3D-2</t>
  </si>
  <si>
    <t>BUS-3D-3</t>
  </si>
  <si>
    <t>BUS-3D-4</t>
  </si>
  <si>
    <t>BUS-3D-5</t>
  </si>
  <si>
    <t>BUS-3D-6</t>
  </si>
  <si>
    <t>BUS-3D-7</t>
  </si>
  <si>
    <t>BUS-3D-8</t>
  </si>
  <si>
    <t>UOB-3D-1</t>
  </si>
  <si>
    <t>UOB-3D-2</t>
  </si>
  <si>
    <t>KWO-DH211-USS-4A</t>
  </si>
  <si>
    <t>KWO-DH211-SW4A</t>
  </si>
  <si>
    <t>CH-4A</t>
  </si>
  <si>
    <t>DP (P4-4A)</t>
  </si>
  <si>
    <t>UPS-4A-1</t>
  </si>
  <si>
    <t>UPS-4A-2</t>
  </si>
  <si>
    <t>KWO-DH211-UP4A</t>
  </si>
  <si>
    <t>BUS-4A-1</t>
  </si>
  <si>
    <t>BUS-4A-2</t>
  </si>
  <si>
    <t>BUS-4A-3</t>
  </si>
  <si>
    <t>BUS-4A-4</t>
  </si>
  <si>
    <t>BUS-4A-5</t>
  </si>
  <si>
    <t>BUS-4A-6</t>
  </si>
  <si>
    <t>BUS-4A-7</t>
  </si>
  <si>
    <t>BUS-4A-8</t>
  </si>
  <si>
    <t>UOB-4A-1</t>
  </si>
  <si>
    <t>UOB-4A-2</t>
  </si>
  <si>
    <t>KWO-DH211-USS-4B</t>
  </si>
  <si>
    <t>KWO-DH211-SW4B</t>
  </si>
  <si>
    <t>CH-4B</t>
  </si>
  <si>
    <t>DP (P4-4B)</t>
  </si>
  <si>
    <t>UPS-4B-1</t>
  </si>
  <si>
    <t>UPS-4B-2</t>
  </si>
  <si>
    <t>KWO-DH211-UP4B</t>
  </si>
  <si>
    <t>BUS-4B-1</t>
  </si>
  <si>
    <t>BUS-4B-2</t>
  </si>
  <si>
    <t>BUS-4B-3</t>
  </si>
  <si>
    <t>BUS-4B-4</t>
  </si>
  <si>
    <t>BUS-4B-5</t>
  </si>
  <si>
    <t>BUS-4B-6</t>
  </si>
  <si>
    <t>BUS-4B-7</t>
  </si>
  <si>
    <t>BUS-4B-8</t>
  </si>
  <si>
    <t>UOB-4B-1</t>
  </si>
  <si>
    <t>UOB-4B-2</t>
  </si>
  <si>
    <t>KWO-DH211-USS-4C</t>
  </si>
  <si>
    <t>KWO-DH211-SW4C</t>
  </si>
  <si>
    <t>CH-4C</t>
  </si>
  <si>
    <t>DP (P4-4C)</t>
  </si>
  <si>
    <t>UPS-4C-1</t>
  </si>
  <si>
    <t>UPS-4C-2</t>
  </si>
  <si>
    <t>KWO-DH211-UP4C</t>
  </si>
  <si>
    <t>BUS-4C-1</t>
  </si>
  <si>
    <t>BUS-4C-2</t>
  </si>
  <si>
    <t>BUS-4C-3</t>
  </si>
  <si>
    <t>BUS-4C-4</t>
  </si>
  <si>
    <t>BUS-4C-5</t>
  </si>
  <si>
    <t>BUS-4C-6</t>
  </si>
  <si>
    <t>BUS-4C-7</t>
  </si>
  <si>
    <t>BUS-4C-8</t>
  </si>
  <si>
    <t>UOB-4C-1</t>
  </si>
  <si>
    <t>UOB-4C-2</t>
  </si>
  <si>
    <t>KWO-DH211-USS-4D</t>
  </si>
  <si>
    <t>KWO-DH211-SW4D</t>
  </si>
  <si>
    <t>CH-4D</t>
  </si>
  <si>
    <t>DP (P4-4D)</t>
  </si>
  <si>
    <t>UPS-4D-1</t>
  </si>
  <si>
    <t>UPS-4D-2</t>
  </si>
  <si>
    <t>KWO-DH211-UP4D</t>
  </si>
  <si>
    <t>BUS-4D-1</t>
  </si>
  <si>
    <t>BUS-4D-2</t>
  </si>
  <si>
    <t>BUS-4D-3</t>
  </si>
  <si>
    <t>BUS-4D-4</t>
  </si>
  <si>
    <t>BUS-4D-5</t>
  </si>
  <si>
    <t>BUS-4D-6</t>
  </si>
  <si>
    <t>BUS-4D-7</t>
  </si>
  <si>
    <t>BUS-4D-8</t>
  </si>
  <si>
    <t>UOB-4D-1</t>
  </si>
  <si>
    <t>UOB-4D-2</t>
  </si>
  <si>
    <t>KWO-DH211-USS-5A</t>
  </si>
  <si>
    <t>KWO-DH211-SW5A</t>
  </si>
  <si>
    <t>CH-5A</t>
  </si>
  <si>
    <t>DP (P4-5A)</t>
  </si>
  <si>
    <t>UPS-5A-1</t>
  </si>
  <si>
    <t>UPS-5A-2</t>
  </si>
  <si>
    <t>KWO-DH211-UP5A</t>
  </si>
  <si>
    <t>BUS-5A-1</t>
  </si>
  <si>
    <t>BUS-5A-2</t>
  </si>
  <si>
    <t>BUS-5A-3</t>
  </si>
  <si>
    <t>BUS-5A-4</t>
  </si>
  <si>
    <t>BUS-5A-5</t>
  </si>
  <si>
    <t>BUS-5A-6</t>
  </si>
  <si>
    <t>BUS-5A-7</t>
  </si>
  <si>
    <t>BUS-5A-8</t>
  </si>
  <si>
    <t>UOB-5A-1</t>
  </si>
  <si>
    <t>UOB-5A-2</t>
  </si>
  <si>
    <t>KWO-DH211-USS-5B</t>
  </si>
  <si>
    <t>KWO-DH211-SW5B</t>
  </si>
  <si>
    <t>CH-5B</t>
  </si>
  <si>
    <t>DP (P4-5B)</t>
  </si>
  <si>
    <t>UPS-5B-1</t>
  </si>
  <si>
    <t>UPS-5B-2</t>
  </si>
  <si>
    <t>KWO-DH211-UP5B</t>
  </si>
  <si>
    <t>BUS-5B-1</t>
  </si>
  <si>
    <t>BUS-5B-2</t>
  </si>
  <si>
    <t>BUS-5B-3</t>
  </si>
  <si>
    <t>BUS-5B-4</t>
  </si>
  <si>
    <t>BUS-5B-5</t>
  </si>
  <si>
    <t>BUS-5B-6</t>
  </si>
  <si>
    <t>BUS-5B-7</t>
  </si>
  <si>
    <t>BUS-5B-8</t>
  </si>
  <si>
    <t>UOB-5B-1</t>
  </si>
  <si>
    <t>UOB-5B-2</t>
  </si>
  <si>
    <t>KWO-DH211-USS-5C</t>
  </si>
  <si>
    <t>KWO-DH211-SW5C</t>
  </si>
  <si>
    <t>CH-5C</t>
  </si>
  <si>
    <t>DP (P4-5C)</t>
  </si>
  <si>
    <t>UPS-5C-1</t>
  </si>
  <si>
    <t>UPS-5C-2</t>
  </si>
  <si>
    <t>KWO-DH211-UP5C</t>
  </si>
  <si>
    <t>BUS-5C-1</t>
  </si>
  <si>
    <t>BUS-5C-2</t>
  </si>
  <si>
    <t>BUS-5C-3</t>
  </si>
  <si>
    <t>BUS-5C-4</t>
  </si>
  <si>
    <t>BUS-5C-5</t>
  </si>
  <si>
    <t>BUS-5C-6</t>
  </si>
  <si>
    <t>BUS-5C-7</t>
  </si>
  <si>
    <t>BUS-5C-8</t>
  </si>
  <si>
    <t>UOB-5C-1</t>
  </si>
  <si>
    <t>UOB-5C-2</t>
  </si>
  <si>
    <t>KWO-DH211-USS-5D</t>
  </si>
  <si>
    <t>KWO-DH211-SW5D</t>
  </si>
  <si>
    <t>CH-5D</t>
  </si>
  <si>
    <t>DP (P4-5D)</t>
  </si>
  <si>
    <t>UPS-5D-1</t>
  </si>
  <si>
    <t>UPS-5D-2</t>
  </si>
  <si>
    <t>KWO-DH211-UP5D</t>
  </si>
  <si>
    <t>BUS-5D-1</t>
  </si>
  <si>
    <t>BUS-5D-2</t>
  </si>
  <si>
    <t>BUS-5D-3</t>
  </si>
  <si>
    <t>BUS-5D-4</t>
  </si>
  <si>
    <t>BUS-5D-5</t>
  </si>
  <si>
    <t>BUS-5D-6</t>
  </si>
  <si>
    <t>BUS-5D-7</t>
  </si>
  <si>
    <t>BUS-5D-8</t>
  </si>
  <si>
    <t>UOB-5D-1</t>
  </si>
  <si>
    <t>UOB-5D-2</t>
  </si>
  <si>
    <t>JDC - SWBD Device Name</t>
  </si>
  <si>
    <t>HBT Device Tag</t>
  </si>
  <si>
    <t>HBT Device Description</t>
  </si>
  <si>
    <t>UCB [5000 AF/5000 AT]</t>
  </si>
  <si>
    <t>SW7A-CB1</t>
  </si>
  <si>
    <t>UFCB-01</t>
  </si>
  <si>
    <t>MB01 - U [5000 AF/5000 AT]</t>
  </si>
  <si>
    <t>SW7A-CB2</t>
  </si>
  <si>
    <t>MIB-01</t>
  </si>
  <si>
    <t>DP-X3-1 [400 AF/400 AT]</t>
  </si>
  <si>
    <t>SW7A-CB4</t>
  </si>
  <si>
    <t>DP-X3-2 [400 AF/400 AT]</t>
  </si>
  <si>
    <t>SW7A-CB5</t>
  </si>
  <si>
    <t>SPARE [2000 AF/1600 AT]</t>
  </si>
  <si>
    <t>SW7A-CB6</t>
  </si>
  <si>
    <t>SPARE-1</t>
  </si>
  <si>
    <t>SPACE [2000 AF]</t>
  </si>
  <si>
    <t>-</t>
  </si>
  <si>
    <t>CH-6X [1200 AF/1200 AT]</t>
  </si>
  <si>
    <t>SW7A-CB7</t>
  </si>
  <si>
    <t>MUPS-RIB [1000 AF/1000 AT]</t>
  </si>
  <si>
    <t>SW7A-CB8</t>
  </si>
  <si>
    <t>MUPS-RIB-1</t>
  </si>
  <si>
    <t>MUPS-BIB [1000 AF/1000 AT]</t>
  </si>
  <si>
    <t>SW7A-CB9</t>
  </si>
  <si>
    <t>MUPS-RIB-2</t>
  </si>
  <si>
    <t>UPS-X-1 [2000 AF/1600AT]</t>
  </si>
  <si>
    <t>SW7A-CB10</t>
  </si>
  <si>
    <t>SPARE [400 AF/125 AT]</t>
  </si>
  <si>
    <t>SW7A-CB11</t>
  </si>
  <si>
    <t>SPARE-2</t>
  </si>
  <si>
    <t>PQM-1_SEL 735</t>
  </si>
  <si>
    <t>SW7A-PQM-01</t>
  </si>
  <si>
    <t>MAINS-PQM</t>
  </si>
  <si>
    <t>MBB [1600 AF/1600 AT]</t>
  </si>
  <si>
    <t>UP7A-CB1</t>
  </si>
  <si>
    <t>MIB [1600 AF/1600 AT]</t>
  </si>
  <si>
    <t>UP7A-CB3</t>
  </si>
  <si>
    <t>UP [125 AF/30 AT]</t>
  </si>
  <si>
    <t>UP7A-CB4</t>
  </si>
  <si>
    <t>UP</t>
  </si>
  <si>
    <t>SPARE [800 AF/600 AT]</t>
  </si>
  <si>
    <t>UP7A-CB5</t>
  </si>
  <si>
    <t>BUS-XX-1 [800 AF/600 AT]</t>
  </si>
  <si>
    <t>UP7A-CB6</t>
  </si>
  <si>
    <t>BUS-XX-2 [800 AF/600 AT]</t>
  </si>
  <si>
    <t>UP7A-CB7</t>
  </si>
  <si>
    <t>BUS-XX-3 [800 AF/600 AT]</t>
  </si>
  <si>
    <t>UP7A-CB8</t>
  </si>
  <si>
    <t>BUS-XX-4 [800 AF/600 AT]</t>
  </si>
  <si>
    <t>UP7A-CB9</t>
  </si>
  <si>
    <t>UP7A-CB10</t>
  </si>
  <si>
    <t>UP7A-CB11</t>
  </si>
  <si>
    <t>UOB-X3-1 [1600 AF/1600 AT]</t>
  </si>
  <si>
    <t>UP7A-CB12</t>
  </si>
  <si>
    <t>PQM-2_SEL 735</t>
  </si>
  <si>
    <t>UP7A-PQM</t>
  </si>
  <si>
    <t>Power Quality Meter</t>
  </si>
  <si>
    <t>MOXA 1210 I/O</t>
  </si>
  <si>
    <t>XFMR-7A</t>
  </si>
  <si>
    <t>MOXA 1</t>
  </si>
  <si>
    <t>SW7A-MOXA-2</t>
  </si>
  <si>
    <t>Gateway</t>
  </si>
  <si>
    <t>MOXA NAT-102 (EXTERNAL)</t>
  </si>
  <si>
    <t>UOB [1000 AF/1000 AT]</t>
  </si>
  <si>
    <t>ODP7A-CB1</t>
  </si>
  <si>
    <t>CB03 - MIB [1000 AF/1000 AT]</t>
  </si>
  <si>
    <t>ODP7A-CB2</t>
  </si>
  <si>
    <t>CB02 - MBB [1000 AF/1000 AT]</t>
  </si>
  <si>
    <t>ODP7A-CB3</t>
  </si>
  <si>
    <t>CB11 [250 AF/225 AT]</t>
  </si>
  <si>
    <t>ODP7A-CB4</t>
  </si>
  <si>
    <t>FCB1</t>
  </si>
  <si>
    <t>CB04 [400 AF/250 AT]</t>
  </si>
  <si>
    <t>ODP7A-CB5</t>
  </si>
  <si>
    <t>FCB2</t>
  </si>
  <si>
    <t>CB05 [250 AF/150 AT]</t>
  </si>
  <si>
    <t>ODP7A-CB6</t>
  </si>
  <si>
    <t>FCB3</t>
  </si>
  <si>
    <t>CB06 [250 AF/150 AT]</t>
  </si>
  <si>
    <t>ODP7A-CB7</t>
  </si>
  <si>
    <t>FCB4</t>
  </si>
  <si>
    <t>CB07 [250 AF/150 AT]</t>
  </si>
  <si>
    <t>ODP7A-CB8</t>
  </si>
  <si>
    <t>FCB5</t>
  </si>
  <si>
    <t>CB08 [250 AF/150 AT]</t>
  </si>
  <si>
    <t>ODP7A-CB9</t>
  </si>
  <si>
    <t>FCB6</t>
  </si>
  <si>
    <t>CB09 [250 AF/150 AT]</t>
  </si>
  <si>
    <t>ODP7A-CB10</t>
  </si>
  <si>
    <t>FCB7</t>
  </si>
  <si>
    <t>CB10 [250 AF/150 AT]</t>
  </si>
  <si>
    <t>ODP7A-CB11</t>
  </si>
  <si>
    <t>CB13 [250 AF/250 AT]</t>
  </si>
  <si>
    <t>ODP7A-CB12</t>
  </si>
  <si>
    <t>CB12 [250 AF/60 AT]</t>
  </si>
  <si>
    <t>ODP7A-CB13</t>
  </si>
  <si>
    <t>CB14 [250 AF/250 AT]</t>
  </si>
  <si>
    <t>PQM_SEL735</t>
  </si>
  <si>
    <t>ODP7A-PQM</t>
  </si>
  <si>
    <t>BW-5A-1</t>
  </si>
  <si>
    <t>Bussway</t>
  </si>
  <si>
    <t>BW-5B-1</t>
  </si>
  <si>
    <t>BW-5C-1</t>
  </si>
  <si>
    <t>BW-5D-1</t>
  </si>
  <si>
    <t>BW-5A-3</t>
  </si>
  <si>
    <t>BW-5B-3</t>
  </si>
  <si>
    <t>BW-5C-3</t>
  </si>
  <si>
    <t>BW-5D-3</t>
  </si>
  <si>
    <t>BW-5A-2</t>
  </si>
  <si>
    <t>BW-5A-4</t>
  </si>
  <si>
    <t>BW-5B-2</t>
  </si>
  <si>
    <t>BW-5B-4</t>
  </si>
  <si>
    <t>BW-5C-2</t>
  </si>
  <si>
    <t>BW-5C-4</t>
  </si>
  <si>
    <t>BW-5D-2</t>
  </si>
  <si>
    <t>BW-5D-4</t>
  </si>
  <si>
    <t>BW-5A-5</t>
  </si>
  <si>
    <t>BW-5B-5</t>
  </si>
  <si>
    <t>BW-5C-5</t>
  </si>
  <si>
    <t>BW-5D-5</t>
  </si>
  <si>
    <t>BW-3A-1</t>
  </si>
  <si>
    <t>BW-3B-1</t>
  </si>
  <si>
    <t>BW-3C-1</t>
  </si>
  <si>
    <t>BW-3D-1</t>
  </si>
  <si>
    <t>BW-3A-2</t>
  </si>
  <si>
    <t>BW-3B-2</t>
  </si>
  <si>
    <t>BW-3C-2</t>
  </si>
  <si>
    <t>BW-3D-2</t>
  </si>
  <si>
    <t>BW-5A-6</t>
  </si>
  <si>
    <t>BW-5B-6</t>
  </si>
  <si>
    <t>BW-5C-6</t>
  </si>
  <si>
    <t>BW-5D-6</t>
  </si>
  <si>
    <t>BW-7A-1</t>
  </si>
  <si>
    <t>BW-7A-2</t>
  </si>
  <si>
    <t>BW-7B-1</t>
  </si>
  <si>
    <t>BW-7C-1</t>
  </si>
  <si>
    <t>BW-7A-3</t>
  </si>
  <si>
    <t>BW-7A-4</t>
  </si>
  <si>
    <t>BW-7D-1</t>
  </si>
  <si>
    <t>BW-7E-1</t>
  </si>
  <si>
    <t>BW-7B-2</t>
  </si>
  <si>
    <t>BW-7B-3</t>
  </si>
  <si>
    <t>BW-7C-2</t>
  </si>
  <si>
    <t>BW-7D-2</t>
  </si>
  <si>
    <t>BW-7E-2</t>
  </si>
  <si>
    <t>BW-7B-4</t>
  </si>
  <si>
    <t>BW-7D-3</t>
  </si>
  <si>
    <t>BW-7C-3</t>
  </si>
  <si>
    <t>BW-3D-7</t>
  </si>
  <si>
    <t>BW-3C-8</t>
  </si>
  <si>
    <t>BW-3A-8</t>
  </si>
  <si>
    <t>BW-3D-8</t>
  </si>
  <si>
    <t>BW-3B-7</t>
  </si>
  <si>
    <t>BW-3B-8</t>
  </si>
  <si>
    <t>BW-7E-3</t>
  </si>
  <si>
    <t>BW-7C-4</t>
  </si>
  <si>
    <t>BW-7E-4</t>
  </si>
  <si>
    <t>BW-7D-4</t>
  </si>
  <si>
    <t>BW-6A-5</t>
  </si>
  <si>
    <t>BW-6A-6</t>
  </si>
  <si>
    <t>BW-6B-6</t>
  </si>
  <si>
    <t>BW-6E-6</t>
  </si>
  <si>
    <t>BW-5A-8</t>
  </si>
  <si>
    <t>BW-5D-8</t>
  </si>
  <si>
    <t>BW-5C-8</t>
  </si>
  <si>
    <t>BW-1A-8</t>
  </si>
  <si>
    <t>BW-1D-8</t>
  </si>
  <si>
    <t>BW-5B-8</t>
  </si>
  <si>
    <t>BW-1A-7</t>
  </si>
  <si>
    <t>BW-1D-7</t>
  </si>
  <si>
    <t>BW-7A-5</t>
  </si>
  <si>
    <t>BW-7A-6</t>
  </si>
  <si>
    <t>BW-7B-5</t>
  </si>
  <si>
    <t>BW-7B-6</t>
  </si>
  <si>
    <t>BW-7C-5</t>
  </si>
  <si>
    <t>BW-7C-6</t>
  </si>
  <si>
    <t>BW-7D-5</t>
  </si>
  <si>
    <t>BW-7D-6</t>
  </si>
  <si>
    <t>BW-3A-4</t>
  </si>
  <si>
    <t>BW-3B-4</t>
  </si>
  <si>
    <t>BW-3B-6</t>
  </si>
  <si>
    <t>BW-3C-4</t>
  </si>
  <si>
    <t>BW-3C-6</t>
  </si>
  <si>
    <t>BW-3A-6</t>
  </si>
  <si>
    <t>BW-3D-4</t>
  </si>
  <si>
    <t>BW-3A-3</t>
  </si>
  <si>
    <t>BW-3B-3</t>
  </si>
  <si>
    <t>BW-3C-3</t>
  </si>
  <si>
    <t>BW-3D-3</t>
  </si>
  <si>
    <t>BW-3A-5</t>
  </si>
  <si>
    <t>BW-3B-5</t>
  </si>
  <si>
    <t>BW-3C-5</t>
  </si>
  <si>
    <t>BW-3D-5</t>
  </si>
  <si>
    <t>BW-5A-7</t>
  </si>
  <si>
    <t>BW-5B-7</t>
  </si>
  <si>
    <t>BW-5C-7</t>
  </si>
  <si>
    <t>BW-5D-7</t>
  </si>
  <si>
    <t>BW-1A-1</t>
  </si>
  <si>
    <t>BW-1D-1</t>
  </si>
  <si>
    <t>BW-1A-2</t>
  </si>
  <si>
    <t>BW-1D-2</t>
  </si>
  <si>
    <t>BW-1A-3</t>
  </si>
  <si>
    <t>BW-1D-3</t>
  </si>
  <si>
    <t>BW-1A-4</t>
  </si>
  <si>
    <t>BW-1D-4</t>
  </si>
  <si>
    <t>BW-1A-5</t>
  </si>
  <si>
    <t>BW-1D-5</t>
  </si>
  <si>
    <t>BW-1A-6</t>
  </si>
  <si>
    <t>BW-1D-6</t>
  </si>
  <si>
    <t>BW-6A-1</t>
  </si>
  <si>
    <t>BW-6B-1</t>
  </si>
  <si>
    <t>BW-6A-2</t>
  </si>
  <si>
    <t>BW-6C-1</t>
  </si>
  <si>
    <t>BW-6A-3</t>
  </si>
  <si>
    <t>BW-6D-1</t>
  </si>
  <si>
    <t>BW-6A-4</t>
  </si>
  <si>
    <t>BW-6B-2</t>
  </si>
  <si>
    <t>BW-6C-2</t>
  </si>
  <si>
    <t>BW-6B-3</t>
  </si>
  <si>
    <t>BW-6D-2</t>
  </si>
  <si>
    <t>BW-6B-4</t>
  </si>
  <si>
    <t>BW-6E-1</t>
  </si>
  <si>
    <t>BW-6E-2</t>
  </si>
  <si>
    <t>BW-6C-3</t>
  </si>
  <si>
    <t>BW-6D-3</t>
  </si>
  <si>
    <t>BW-6C-4</t>
  </si>
  <si>
    <t>BW-6E-3</t>
  </si>
  <si>
    <t>BW-6D-4</t>
  </si>
  <si>
    <t>BW-6E-4</t>
  </si>
  <si>
    <t>BW-3A-7</t>
  </si>
  <si>
    <t>BW-3C-7</t>
  </si>
  <si>
    <t>BW-6C-5</t>
  </si>
  <si>
    <t>BW-6D-5</t>
  </si>
  <si>
    <t>BW-6E-5</t>
  </si>
  <si>
    <t>BW-6B-5</t>
  </si>
  <si>
    <t>BW-2A-8</t>
  </si>
  <si>
    <t>BW-2B-8</t>
  </si>
  <si>
    <t>BW-2C-8</t>
  </si>
  <si>
    <t>BW-2D-8</t>
  </si>
  <si>
    <t>BW-2B-7</t>
  </si>
  <si>
    <t>BW-2C-7</t>
  </si>
  <si>
    <t>BW-2A-7</t>
  </si>
  <si>
    <t>BW-2D-7</t>
  </si>
  <si>
    <t>BW-2A-1</t>
  </si>
  <si>
    <t>BW-2B-1</t>
  </si>
  <si>
    <t>BW-2C-1</t>
  </si>
  <si>
    <t>BW-2D-1</t>
  </si>
  <si>
    <t>BW-2A-2</t>
  </si>
  <si>
    <t>BW-2B-2</t>
  </si>
  <si>
    <t>BW-2C-2</t>
  </si>
  <si>
    <t>BW-2D-2</t>
  </si>
  <si>
    <t>BW-3D-6</t>
  </si>
  <si>
    <t>BW-2A-3</t>
  </si>
  <si>
    <t>BW-2B-3</t>
  </si>
  <si>
    <t>BW-2C-3</t>
  </si>
  <si>
    <t>BW-2D-3</t>
  </si>
  <si>
    <t>BW-2A-4</t>
  </si>
  <si>
    <t>BW-2B-4</t>
  </si>
  <si>
    <t>BW-2C-4</t>
  </si>
  <si>
    <t>BW-2D-4</t>
  </si>
  <si>
    <t>BW-2A-5</t>
  </si>
  <si>
    <t>BW-2B-5</t>
  </si>
  <si>
    <t>BW-2C-5</t>
  </si>
  <si>
    <t>BW-2D-5</t>
  </si>
  <si>
    <t>BW-2A-6</t>
  </si>
  <si>
    <t>BW-2B-6</t>
  </si>
  <si>
    <t>BW-2C-6</t>
  </si>
  <si>
    <t>BW-2D-6</t>
  </si>
  <si>
    <t>GEN-1A-GTWY</t>
  </si>
  <si>
    <t xml:space="preserve">Generator Panel Converter </t>
  </si>
  <si>
    <t>GEN-3D-GTWY</t>
  </si>
  <si>
    <t>Generator Panel Converter</t>
  </si>
  <si>
    <t>GEN-1A</t>
  </si>
  <si>
    <t>Generator (holds the Converter Panel)</t>
  </si>
  <si>
    <t>GEN-1B</t>
  </si>
  <si>
    <t>Generator</t>
  </si>
  <si>
    <t>GEN-1C</t>
  </si>
  <si>
    <t>GEN-1D</t>
  </si>
  <si>
    <t>GEN-H1</t>
  </si>
  <si>
    <t>GEN-2A</t>
  </si>
  <si>
    <t>GEN-2B</t>
  </si>
  <si>
    <t>GEN-2C</t>
  </si>
  <si>
    <t>GEN-2D</t>
  </si>
  <si>
    <t>GEN-3A</t>
  </si>
  <si>
    <t>GEN-3B</t>
  </si>
  <si>
    <t>GEN-3C</t>
  </si>
  <si>
    <t>GEN-3D</t>
  </si>
  <si>
    <t>GEN-5A</t>
  </si>
  <si>
    <t>GEN-5B</t>
  </si>
  <si>
    <t>GEN-5C</t>
  </si>
  <si>
    <t>GEN-5D</t>
  </si>
  <si>
    <t>GEN-6A</t>
  </si>
  <si>
    <t>GEN-6B</t>
  </si>
  <si>
    <t>GEN-6C</t>
  </si>
  <si>
    <t>GEN-6D</t>
  </si>
  <si>
    <t>GEN-6E</t>
  </si>
  <si>
    <t>GEN-7A</t>
  </si>
  <si>
    <t>GEN-7B</t>
  </si>
  <si>
    <t>GEN-7C</t>
  </si>
  <si>
    <t>GEN-7D</t>
  </si>
  <si>
    <t>GEN-7E</t>
  </si>
  <si>
    <t>SW7B-CB1</t>
  </si>
  <si>
    <t>SW7B-CB2</t>
  </si>
  <si>
    <t>SW7B-CB4</t>
  </si>
  <si>
    <t>SW7B-CB5</t>
  </si>
  <si>
    <t>SW7B-CB6</t>
  </si>
  <si>
    <t>SW7B-CB7</t>
  </si>
  <si>
    <t>SW7B-CB8</t>
  </si>
  <si>
    <t>SW7B-CB9</t>
  </si>
  <si>
    <t>SW7B-CB10</t>
  </si>
  <si>
    <t>SW7B-PQM-01</t>
  </si>
  <si>
    <t>SW7B-PQM-02</t>
  </si>
  <si>
    <t>DP-7B-1-PQM</t>
  </si>
  <si>
    <t>SW7B-PQM-03</t>
  </si>
  <si>
    <t>DP-7B-2-PQM</t>
  </si>
  <si>
    <t>SW7B-PQM-04</t>
  </si>
  <si>
    <t>CH-7B-PQM</t>
  </si>
  <si>
    <t>UP7B-CB01</t>
  </si>
  <si>
    <t>UP7B-CB03</t>
  </si>
  <si>
    <t>UP7B-CB04</t>
  </si>
  <si>
    <t>UP7B-CB05</t>
  </si>
  <si>
    <t>UP7B-CB06</t>
  </si>
  <si>
    <t>UP7B-CB07</t>
  </si>
  <si>
    <t>UP7B-CB08</t>
  </si>
  <si>
    <t>UP7B-CB09</t>
  </si>
  <si>
    <t>UP7B-CB10</t>
  </si>
  <si>
    <t>UP7B-CB11</t>
  </si>
  <si>
    <t>UP7B-CB12</t>
  </si>
  <si>
    <t>UP7B-PQM</t>
  </si>
  <si>
    <t>XFMR-7B</t>
  </si>
  <si>
    <t>ODP7B-CB1</t>
  </si>
  <si>
    <t>ODP7B-CB2</t>
  </si>
  <si>
    <t>ODP7B-CB3</t>
  </si>
  <si>
    <t>ODP7B-CB4</t>
  </si>
  <si>
    <t>ODP7B-CB5</t>
  </si>
  <si>
    <t>ODP7B-CB6</t>
  </si>
  <si>
    <t>ODP7B-CB7</t>
  </si>
  <si>
    <t>ODP7B-CB8</t>
  </si>
  <si>
    <t>ODP7B-CB9</t>
  </si>
  <si>
    <t>ODP7B-CB10</t>
  </si>
  <si>
    <t>ODP7B-CB11</t>
  </si>
  <si>
    <t>ODP7B-CB12</t>
  </si>
  <si>
    <t>ODP7B-CB13</t>
  </si>
  <si>
    <t>ODP7B-PQM</t>
  </si>
  <si>
    <t>SW7C-CB1</t>
  </si>
  <si>
    <t>SW7C-CB3</t>
  </si>
  <si>
    <t>SW7C-CB4</t>
  </si>
  <si>
    <t>SW7C-CB5</t>
  </si>
  <si>
    <t>SW7C-CB6</t>
  </si>
  <si>
    <t>SW7C-CB7</t>
  </si>
  <si>
    <t>SW7C-CB8</t>
  </si>
  <si>
    <t>SW7C-CB9</t>
  </si>
  <si>
    <t>SW7C-CB10</t>
  </si>
  <si>
    <t>SW7C-PQM</t>
  </si>
  <si>
    <t>UP7C-CB01</t>
  </si>
  <si>
    <t>UP7C-CB03</t>
  </si>
  <si>
    <t>UP7C-CB04</t>
  </si>
  <si>
    <t>UP7C-CB05</t>
  </si>
  <si>
    <t>UP7C-CB06</t>
  </si>
  <si>
    <t>UP7C-CB07</t>
  </si>
  <si>
    <t>UP7C-CB08</t>
  </si>
  <si>
    <t>UP7C-CB09</t>
  </si>
  <si>
    <t>UP7C-CB10</t>
  </si>
  <si>
    <t>UP7C-CB11</t>
  </si>
  <si>
    <t>UP7C-CB12</t>
  </si>
  <si>
    <t>UP7C-PQM</t>
  </si>
  <si>
    <t>XFMR-7C</t>
  </si>
  <si>
    <t>SW7C-MOXA-2</t>
  </si>
  <si>
    <t>SW7C-PLC-S7-1200</t>
  </si>
  <si>
    <t>Siemens S7-1200 PLC</t>
  </si>
  <si>
    <t>ODP7C-CB1</t>
  </si>
  <si>
    <t>ODP7C-CB2</t>
  </si>
  <si>
    <t>ODP7C-CB3</t>
  </si>
  <si>
    <t>ODP7C-CB4</t>
  </si>
  <si>
    <t>ODP7C-CB5</t>
  </si>
  <si>
    <t>ODP7C-CB6</t>
  </si>
  <si>
    <t>ODP7C-CB7</t>
  </si>
  <si>
    <t>ODP7C-CB8</t>
  </si>
  <si>
    <t>ODP7C-CB9</t>
  </si>
  <si>
    <t>ODP7C-CB10</t>
  </si>
  <si>
    <t>ODP7C-CB11</t>
  </si>
  <si>
    <t>ODP7C-CB12</t>
  </si>
  <si>
    <t>ODP7C-CB13</t>
  </si>
  <si>
    <t>ODP7C-PQM</t>
  </si>
  <si>
    <t>SW7D-CB1</t>
  </si>
  <si>
    <t>SW7D-CB2</t>
  </si>
  <si>
    <t>SW7D-CB4</t>
  </si>
  <si>
    <t>SW7D-CB5</t>
  </si>
  <si>
    <t>SW7D-CB6</t>
  </si>
  <si>
    <t>SW7D-CB7</t>
  </si>
  <si>
    <t>SW7D-CB8</t>
  </si>
  <si>
    <t>SW7D-CB9</t>
  </si>
  <si>
    <t>SW7D-CB10</t>
  </si>
  <si>
    <t>SW7D-CB11</t>
  </si>
  <si>
    <t>SW7D-PQM</t>
  </si>
  <si>
    <t>UP7D-CB01</t>
  </si>
  <si>
    <t>UP7D-CB03</t>
  </si>
  <si>
    <t>UP7D-CB04</t>
  </si>
  <si>
    <t>UP7D-CB05</t>
  </si>
  <si>
    <t>UP7D-CB06</t>
  </si>
  <si>
    <t>UP7D-CB07</t>
  </si>
  <si>
    <t>UP7D-CB08</t>
  </si>
  <si>
    <t>UP7D-CB09</t>
  </si>
  <si>
    <t>UP7D-CB10</t>
  </si>
  <si>
    <t>UP7D-CB11</t>
  </si>
  <si>
    <t>UP7D-CB12</t>
  </si>
  <si>
    <t>UP7D-PQM</t>
  </si>
  <si>
    <t>XFMR-7D</t>
  </si>
  <si>
    <t>SW7D-MOXA-2</t>
  </si>
  <si>
    <t>SW7D-PLC-S7-1200</t>
  </si>
  <si>
    <t>ODP7D-CB1</t>
  </si>
  <si>
    <t>ODP7D-CB2</t>
  </si>
  <si>
    <t>ODP7D-CB3</t>
  </si>
  <si>
    <t>ODP7D-CB4</t>
  </si>
  <si>
    <t>ODP7D-CB5</t>
  </si>
  <si>
    <t>ODP7D-CB6</t>
  </si>
  <si>
    <t>ODP7D-CB7</t>
  </si>
  <si>
    <t>ODP7D-CB8</t>
  </si>
  <si>
    <t>ODP7D-CB9</t>
  </si>
  <si>
    <t>ODP7D-CB10</t>
  </si>
  <si>
    <t>ODP7D-CB11</t>
  </si>
  <si>
    <t>ODP7D-CB12</t>
  </si>
  <si>
    <t>ODP7D-CB13</t>
  </si>
  <si>
    <t>ODP7D-PQM</t>
  </si>
  <si>
    <t>SW7E-CB1</t>
  </si>
  <si>
    <t>SW7E-CB2</t>
  </si>
  <si>
    <t>SW7E-CB4</t>
  </si>
  <si>
    <t>SW7E-CB5</t>
  </si>
  <si>
    <t>SW7E-CB6</t>
  </si>
  <si>
    <t>SW7E-CB7</t>
  </si>
  <si>
    <t>SW7E-CB8</t>
  </si>
  <si>
    <t>SW7E-CB9</t>
  </si>
  <si>
    <t>SW7E-CB10</t>
  </si>
  <si>
    <t>SW7E-PQM</t>
  </si>
  <si>
    <t>UP7E-CB01</t>
  </si>
  <si>
    <t>UP7E-CB03</t>
  </si>
  <si>
    <t>UP7E-CB04</t>
  </si>
  <si>
    <t>UP7E-CB05</t>
  </si>
  <si>
    <t>UP7E-CB06</t>
  </si>
  <si>
    <t>UP7E-CB07</t>
  </si>
  <si>
    <t>UP7E-CB08</t>
  </si>
  <si>
    <t>UP7E-CB09</t>
  </si>
  <si>
    <t>UP7E-CB10</t>
  </si>
  <si>
    <t>UP7E-CB11</t>
  </si>
  <si>
    <t>UP7E-CB12</t>
  </si>
  <si>
    <t>UP7E-PQM</t>
  </si>
  <si>
    <t>XFMR-7E</t>
  </si>
  <si>
    <t>SW7E-MOXA-2</t>
  </si>
  <si>
    <t>SW7E-PLC-S7-1200</t>
  </si>
  <si>
    <t>ODP7E-CB1</t>
  </si>
  <si>
    <t>ODP7E-CB2</t>
  </si>
  <si>
    <t>ODP7E-CB3</t>
  </si>
  <si>
    <t>ODP7E-CB4</t>
  </si>
  <si>
    <t>ODP7E-CB5</t>
  </si>
  <si>
    <t>ODP7E-CB6</t>
  </si>
  <si>
    <t>ODP7E-CB7</t>
  </si>
  <si>
    <t>ODP7E-CB8</t>
  </si>
  <si>
    <t>ODP7E-CB9</t>
  </si>
  <si>
    <t>ODP7E-CB10</t>
  </si>
  <si>
    <t>ODP7E-CB11</t>
  </si>
  <si>
    <t>ODP7E-CB12</t>
  </si>
  <si>
    <t>ODP7E-CB13</t>
  </si>
  <si>
    <t>ODP7E-PQM</t>
  </si>
  <si>
    <t>SW1A-CB1</t>
  </si>
  <si>
    <t>XFMR-1A</t>
  </si>
  <si>
    <t>MB01-UTI [5000 AF/5000 AT]</t>
  </si>
  <si>
    <t>SW1A-CB2</t>
  </si>
  <si>
    <t>MB02-GEN [5000 AF/5000 AT]</t>
  </si>
  <si>
    <t>SW1A-CB3</t>
  </si>
  <si>
    <t>MIB-02</t>
  </si>
  <si>
    <t>GEN SHORE  [400 AF/200 AT]</t>
  </si>
  <si>
    <t>SW1A-CB5</t>
  </si>
  <si>
    <t>DP</t>
  </si>
  <si>
    <t>CH-X-1  [1200 AF/1200 AT]</t>
  </si>
  <si>
    <t>SW1A-CB6</t>
  </si>
  <si>
    <t>UPS-01 [2000 AF/2000 AT]</t>
  </si>
  <si>
    <t>SW1A-CB7</t>
  </si>
  <si>
    <t>UPS-02 [2000 AF/2000 AT]</t>
  </si>
  <si>
    <t>SW1A-CB8</t>
  </si>
  <si>
    <t>SPARE [2000 AF/2000 AT]</t>
  </si>
  <si>
    <t>SW1A-CB9</t>
  </si>
  <si>
    <t>PQM-1_SEL735</t>
  </si>
  <si>
    <t>SW1A-PQM-01</t>
  </si>
  <si>
    <t>SW1A-PQM-02</t>
  </si>
  <si>
    <t>CH-1A-PQM</t>
  </si>
  <si>
    <t>MBB [4000 AF/3500 AT]</t>
  </si>
  <si>
    <t>UP1A-CB1</t>
  </si>
  <si>
    <t>MIB  [4000 AF/3500 AT]</t>
  </si>
  <si>
    <t>UP1A-CB3</t>
  </si>
  <si>
    <t>UP1A-CB4</t>
  </si>
  <si>
    <t>UP1A-CB5</t>
  </si>
  <si>
    <t>UP1A-CB6</t>
  </si>
  <si>
    <t>UP1A-CB7</t>
  </si>
  <si>
    <t>BUS-XX-5 [800 AF/600 AT]</t>
  </si>
  <si>
    <t>UP1A-CB8</t>
  </si>
  <si>
    <t>BUS-XX-6 [800 AF/600 AT]</t>
  </si>
  <si>
    <t>UP1A-CB9</t>
  </si>
  <si>
    <t>UP1A-CB10</t>
  </si>
  <si>
    <t>(800 AF/600 AT to be added)</t>
  </si>
  <si>
    <t>UP1A-CB11</t>
  </si>
  <si>
    <t>UOB-02 [2000 AF/2000 AT]</t>
  </si>
  <si>
    <t>UP1A-CB12</t>
  </si>
  <si>
    <t>UOB-01 [2000 AF/2000 AT]</t>
  </si>
  <si>
    <t>UP1A-CB13</t>
  </si>
  <si>
    <t>PQM-2_SEL735</t>
  </si>
  <si>
    <t>UP1A-PQM</t>
  </si>
  <si>
    <t>SW1B-CB1</t>
  </si>
  <si>
    <t>XFMR-1B</t>
  </si>
  <si>
    <t>SW1B-CB2</t>
  </si>
  <si>
    <t>SW1B-CB3</t>
  </si>
  <si>
    <t>SW1B-CB5</t>
  </si>
  <si>
    <t>SW1B-CB6</t>
  </si>
  <si>
    <t>SW1B-CB7</t>
  </si>
  <si>
    <t>SW1B-CB8</t>
  </si>
  <si>
    <t>SW1B-CB9</t>
  </si>
  <si>
    <t>SW1B-PQM-01</t>
  </si>
  <si>
    <t>SW1B-PQM-02</t>
  </si>
  <si>
    <t>CH-1B-PQM</t>
  </si>
  <si>
    <t>UP1B-CB1</t>
  </si>
  <si>
    <t>UP1B-CB3</t>
  </si>
  <si>
    <t>UP1B-CB4</t>
  </si>
  <si>
    <t>UP1B-CB5</t>
  </si>
  <si>
    <t>UP1B-CB6</t>
  </si>
  <si>
    <t>UP1B-CB7</t>
  </si>
  <si>
    <t>UP1B-CB8</t>
  </si>
  <si>
    <t>UP1B-CB9</t>
  </si>
  <si>
    <t>UP1B-CB10</t>
  </si>
  <si>
    <t>UP1B-CB11</t>
  </si>
  <si>
    <t>UP1B-CB12</t>
  </si>
  <si>
    <t>UP1B-CB13</t>
  </si>
  <si>
    <t>UP1B-PQM</t>
  </si>
  <si>
    <t>SW1C-CB1</t>
  </si>
  <si>
    <t>XFMR-1C</t>
  </si>
  <si>
    <t>SW1C-CB2</t>
  </si>
  <si>
    <t>SW1C-CB3</t>
  </si>
  <si>
    <t>SW1C-CB5</t>
  </si>
  <si>
    <t>SW1C-CB6</t>
  </si>
  <si>
    <t>SW1C-CB7</t>
  </si>
  <si>
    <t>SW1C-CB8</t>
  </si>
  <si>
    <t>SW1C-CB9</t>
  </si>
  <si>
    <t>SW1C-PQM-01</t>
  </si>
  <si>
    <t>SW1C-PQM-02</t>
  </si>
  <si>
    <t>CH-1C-PQM</t>
  </si>
  <si>
    <t>UP1C-CB1</t>
  </si>
  <si>
    <t>UP1C-CB3</t>
  </si>
  <si>
    <t>UP1C-CB4</t>
  </si>
  <si>
    <t>UP1C-CB5</t>
  </si>
  <si>
    <t>UP1C-CB6</t>
  </si>
  <si>
    <t>UP1C-CB7</t>
  </si>
  <si>
    <t>UP1C-CB8</t>
  </si>
  <si>
    <t>UP1C-CB9</t>
  </si>
  <si>
    <t>UP1C-CB10</t>
  </si>
  <si>
    <t>UP1C-CB11</t>
  </si>
  <si>
    <t>UP1C-CB12</t>
  </si>
  <si>
    <t>UP1C-CB13</t>
  </si>
  <si>
    <t>UP1C-PQM</t>
  </si>
  <si>
    <t>SW1D-CB1</t>
  </si>
  <si>
    <t>XFMR-1D</t>
  </si>
  <si>
    <t>SW1D-CB2</t>
  </si>
  <si>
    <t>SW1D-CB3</t>
  </si>
  <si>
    <t>SW1D-CB5</t>
  </si>
  <si>
    <t>SW1D-CB6</t>
  </si>
  <si>
    <t>SW1D-CB7</t>
  </si>
  <si>
    <t>SW1D-CB8</t>
  </si>
  <si>
    <t>SW1D-CB9</t>
  </si>
  <si>
    <t>SW1D-PQM-01</t>
  </si>
  <si>
    <t>SW1D-PQM-02</t>
  </si>
  <si>
    <t>CH-1D-PQM</t>
  </si>
  <si>
    <t>UP1D-CB1</t>
  </si>
  <si>
    <t>UP1D-CB3</t>
  </si>
  <si>
    <t>UP1D-CB4</t>
  </si>
  <si>
    <t>UP1D-CB5</t>
  </si>
  <si>
    <t>UP1D-CB6</t>
  </si>
  <si>
    <t>UP1D-CB7</t>
  </si>
  <si>
    <t>UP1D-CB8</t>
  </si>
  <si>
    <t>UP1D-CB9</t>
  </si>
  <si>
    <t>UP1D-CB10</t>
  </si>
  <si>
    <t>UP1D-CB11</t>
  </si>
  <si>
    <t>UP1D-CB12</t>
  </si>
  <si>
    <t>UP1D-CB13</t>
  </si>
  <si>
    <t>UP1D-PQM</t>
  </si>
  <si>
    <t>FP</t>
  </si>
  <si>
    <t>SWH1-CB1</t>
  </si>
  <si>
    <t>UCB [1200 AF/1200 AT]</t>
  </si>
  <si>
    <t>SWH1-CB2</t>
  </si>
  <si>
    <t>XFMR-H1</t>
  </si>
  <si>
    <t>MIB01 [1200 AF/1200 AT]</t>
  </si>
  <si>
    <t>SWH1-CB3</t>
  </si>
  <si>
    <t>MIB02 [1200 AF/1200 AT]</t>
  </si>
  <si>
    <t>SWH1-CB4</t>
  </si>
  <si>
    <t>GENSHORE [400 AF/200 AT]</t>
  </si>
  <si>
    <t>SWH1-CB6</t>
  </si>
  <si>
    <t>DP-H1 [800 AF/600 AT]</t>
  </si>
  <si>
    <t>SWH1-CB7</t>
  </si>
  <si>
    <t>SPARE [400 AF/200 AT]</t>
  </si>
  <si>
    <t>SWH1-CB8</t>
  </si>
  <si>
    <t>UPS-H1 [800 AF/700 AT]</t>
  </si>
  <si>
    <t>SWH1-CB9</t>
  </si>
  <si>
    <t>UPS-H1-BYP [800 AF/600 AT]</t>
  </si>
  <si>
    <t>SWH1-CB10</t>
  </si>
  <si>
    <t>SPARE [800 AF/800 AT]</t>
  </si>
  <si>
    <t>SWH1-CB11</t>
  </si>
  <si>
    <t>MOXA1 3170</t>
  </si>
  <si>
    <t>SWH1-PQM</t>
  </si>
  <si>
    <t>UOB [600 AF/600 AT]</t>
  </si>
  <si>
    <t>UPH1-1-CB1</t>
  </si>
  <si>
    <t>CB02 MIB [800 AF/600 AT]</t>
  </si>
  <si>
    <t>UPH1-1-CB2</t>
  </si>
  <si>
    <t>CB03 MBB [800 AF/600 AT]</t>
  </si>
  <si>
    <t>UPH1-1-CB3</t>
  </si>
  <si>
    <t>CB05 [125 AF/50 AT]</t>
  </si>
  <si>
    <t>UPH1-1-CB4</t>
  </si>
  <si>
    <t>CB08 [125 AF/50 AT]</t>
  </si>
  <si>
    <t>UPH1-1-CB5</t>
  </si>
  <si>
    <t>CB07 [800 AF/600 AT]</t>
  </si>
  <si>
    <t>UPH1-1-CB6</t>
  </si>
  <si>
    <t>CB04 [400 AF/400 AT]</t>
  </si>
  <si>
    <t>UPH1-1-CB7</t>
  </si>
  <si>
    <t>CB06 [125 AF/100 AT]</t>
  </si>
  <si>
    <t>UPH1-1-CB8</t>
  </si>
  <si>
    <t>UPH1-1-PQM</t>
  </si>
  <si>
    <t>DP4-H2-30-CB1</t>
  </si>
  <si>
    <t>DP4-H2-30-CB2</t>
  </si>
  <si>
    <t>DP4-H2-30-CB3</t>
  </si>
  <si>
    <t>P2HB-1</t>
  </si>
  <si>
    <t>DP4-H2-30-CB4</t>
  </si>
  <si>
    <t>P2HB-2</t>
  </si>
  <si>
    <t>DP4-H2-30-CB5</t>
  </si>
  <si>
    <t>P4H3</t>
  </si>
  <si>
    <t>DP4-H2-30-CB6</t>
  </si>
  <si>
    <t>H1-30</t>
  </si>
  <si>
    <t>DP4-H2-30-CB7</t>
  </si>
  <si>
    <t>H2-30</t>
  </si>
  <si>
    <t>DP4-H2-30-CB8</t>
  </si>
  <si>
    <t>H3-30</t>
  </si>
  <si>
    <t>DP4-H2-10-CB1</t>
  </si>
  <si>
    <t>DP4-H2-10-CB2</t>
  </si>
  <si>
    <t>DP4-H2-10-CB3</t>
  </si>
  <si>
    <t>DP4-H2-10-CB4</t>
  </si>
  <si>
    <t>P4H1-2</t>
  </si>
  <si>
    <t>DP4-H2-10-CB5</t>
  </si>
  <si>
    <t>P4H2</t>
  </si>
  <si>
    <t>DP4-H2-10-CB6</t>
  </si>
  <si>
    <t>H1-10</t>
  </si>
  <si>
    <t>DP4-H2-10-CB7</t>
  </si>
  <si>
    <t>H2-10</t>
  </si>
  <si>
    <t>DP4-H2-10-CB8</t>
  </si>
  <si>
    <t>H3-10</t>
  </si>
  <si>
    <t>DP-H1-CB1</t>
  </si>
  <si>
    <t>DP-H1-CB2</t>
  </si>
  <si>
    <t>P4-S1</t>
  </si>
  <si>
    <t>DP-H1-CB3</t>
  </si>
  <si>
    <t>P4-S2</t>
  </si>
  <si>
    <t>DP-H1-CB4</t>
  </si>
  <si>
    <t>P4-HB-2</t>
  </si>
  <si>
    <t>DP-H1-CB5</t>
  </si>
  <si>
    <t>DP4-H3-30</t>
  </si>
  <si>
    <t>DP-H1-CB6</t>
  </si>
  <si>
    <t>DP4-H1</t>
  </si>
  <si>
    <t>DP-H1-CB7</t>
  </si>
  <si>
    <t>DP-H1-CB8</t>
  </si>
  <si>
    <t>UDP-H1-CB1</t>
  </si>
  <si>
    <t>UDP-H1-CB2</t>
  </si>
  <si>
    <t>UDP-H1-CB3</t>
  </si>
  <si>
    <t>UDP-H1-CB4</t>
  </si>
  <si>
    <t>SPARE-3</t>
  </si>
  <si>
    <t>UDP-H1-CB5</t>
  </si>
  <si>
    <t>WET-LAB-1</t>
  </si>
  <si>
    <t>UDP-H1-CB6</t>
  </si>
  <si>
    <t>UDP2-H2</t>
  </si>
  <si>
    <t>UDP-H1-CB7</t>
  </si>
  <si>
    <t>UDP2-H1</t>
  </si>
  <si>
    <t>UDP-H1-CB8</t>
  </si>
  <si>
    <t>UDP2-HB</t>
  </si>
  <si>
    <t>SW2A-CB1</t>
  </si>
  <si>
    <t>XFMR-2A</t>
  </si>
  <si>
    <t>SW2A-CB2</t>
  </si>
  <si>
    <t>SW2A-CB3</t>
  </si>
  <si>
    <t>SW2A-CB5</t>
  </si>
  <si>
    <t>SW2A-CB6</t>
  </si>
  <si>
    <t>SW2A-CB7</t>
  </si>
  <si>
    <t>SW2A-CB8</t>
  </si>
  <si>
    <t>SW2A-CB9</t>
  </si>
  <si>
    <t>SW2A-PQM-01</t>
  </si>
  <si>
    <t>SW2A-PQM-02</t>
  </si>
  <si>
    <t>CH-2A-PQM</t>
  </si>
  <si>
    <t>UP2A-CB1</t>
  </si>
  <si>
    <t>UP2A-CB3</t>
  </si>
  <si>
    <t>UP2A-CB4</t>
  </si>
  <si>
    <t>UP2A-CB5</t>
  </si>
  <si>
    <t>UP2A-CB6</t>
  </si>
  <si>
    <t>UP2A-CB7</t>
  </si>
  <si>
    <t>UP2A-CB8</t>
  </si>
  <si>
    <t>UP2A-CB9</t>
  </si>
  <si>
    <t>UP2A-CB10</t>
  </si>
  <si>
    <t>UP2A-CB11</t>
  </si>
  <si>
    <t>UP2A-CB12</t>
  </si>
  <si>
    <t>UP2A-CB13</t>
  </si>
  <si>
    <t>UP2A-PQM</t>
  </si>
  <si>
    <t>SW2B-CB1</t>
  </si>
  <si>
    <t>XFMR-2B</t>
  </si>
  <si>
    <t>SW2B-CB2</t>
  </si>
  <si>
    <t>SW2B-CB3</t>
  </si>
  <si>
    <t>SW2B-CB5</t>
  </si>
  <si>
    <t>SW2B-CB6</t>
  </si>
  <si>
    <t>SW2B-CB7</t>
  </si>
  <si>
    <t>SW2B-CB8</t>
  </si>
  <si>
    <t>SW2B-CB9</t>
  </si>
  <si>
    <t>SW2B-PQM-01</t>
  </si>
  <si>
    <t>SW2B-PQM-02</t>
  </si>
  <si>
    <t>CH-2B-PQM</t>
  </si>
  <si>
    <t>UP2B-CB1</t>
  </si>
  <si>
    <t>UP2B-CB3</t>
  </si>
  <si>
    <t>UP2B-CB4</t>
  </si>
  <si>
    <t>UP2B-CB5</t>
  </si>
  <si>
    <t>UP2B-CB6</t>
  </si>
  <si>
    <t>UP2B-CB7</t>
  </si>
  <si>
    <t>UP2B-CB8</t>
  </si>
  <si>
    <t>UP2B-CB9</t>
  </si>
  <si>
    <t>UP2B-CB10</t>
  </si>
  <si>
    <t>UP2B-CB11</t>
  </si>
  <si>
    <t>UP2B-CB12</t>
  </si>
  <si>
    <t>UP2B-CB13</t>
  </si>
  <si>
    <t>UP2B-PQM</t>
  </si>
  <si>
    <t>SW2C-CB1</t>
  </si>
  <si>
    <t>XFMR-2C</t>
  </si>
  <si>
    <t>SW2C-CB2</t>
  </si>
  <si>
    <t>SW2C-CB3</t>
  </si>
  <si>
    <t>SW2C-CB5</t>
  </si>
  <si>
    <t>SW2C-CB6</t>
  </si>
  <si>
    <t>SW2C-CB7</t>
  </si>
  <si>
    <t>SW2C-CB8</t>
  </si>
  <si>
    <t>SW2C-CB9</t>
  </si>
  <si>
    <t>SW2C-PQM-01</t>
  </si>
  <si>
    <t>SW2C-PQM-02</t>
  </si>
  <si>
    <t>CH-2C-PQM</t>
  </si>
  <si>
    <t>UP2C-CB1</t>
  </si>
  <si>
    <t>UP2C-CB3</t>
  </si>
  <si>
    <t>UP2C-CB4</t>
  </si>
  <si>
    <t>UP2C-CB5</t>
  </si>
  <si>
    <t>UP2C-CB6</t>
  </si>
  <si>
    <t>UP2C-CB7</t>
  </si>
  <si>
    <t>UP2C-CB8</t>
  </si>
  <si>
    <t>UP2C-CB9</t>
  </si>
  <si>
    <t>UP2C-CB10</t>
  </si>
  <si>
    <t>UP2C-CB11</t>
  </si>
  <si>
    <t>UP2C-CB12</t>
  </si>
  <si>
    <t>UP2C-CB13</t>
  </si>
  <si>
    <t>UP2C-PQM</t>
  </si>
  <si>
    <t>SW2D-CB1</t>
  </si>
  <si>
    <t>XFMR-2D</t>
  </si>
  <si>
    <t>SW2D-CB2</t>
  </si>
  <si>
    <t>SW2D-CB3</t>
  </si>
  <si>
    <t>SW2D-CB5</t>
  </si>
  <si>
    <t>SW2D-CB6</t>
  </si>
  <si>
    <t>SW2D-CB7</t>
  </si>
  <si>
    <t>SW2D-CB8</t>
  </si>
  <si>
    <t>SW2D-CB9</t>
  </si>
  <si>
    <t>SW2D-PQM-01</t>
  </si>
  <si>
    <t>SW2D-PQM-02</t>
  </si>
  <si>
    <t>CH-2D-PQM</t>
  </si>
  <si>
    <t>UP2D-CB1</t>
  </si>
  <si>
    <t>UP2D-CB3</t>
  </si>
  <si>
    <t>UP2D-CB4</t>
  </si>
  <si>
    <t>UP2D-CB5</t>
  </si>
  <si>
    <t>UP2D-CB6</t>
  </si>
  <si>
    <t>UP2D-CB7</t>
  </si>
  <si>
    <t>UP2D-CB8</t>
  </si>
  <si>
    <t>UP2D-CB9</t>
  </si>
  <si>
    <t>UP2D-CB10</t>
  </si>
  <si>
    <t>UP2D-CB11</t>
  </si>
  <si>
    <t>UP2D-CB12</t>
  </si>
  <si>
    <t>UP2D-CB13</t>
  </si>
  <si>
    <t>UP2D-PQM</t>
  </si>
  <si>
    <t>SW6A-CB1</t>
  </si>
  <si>
    <t>XFMR-6A</t>
  </si>
  <si>
    <t>MIB01 [5000 AF/5000 AT]</t>
  </si>
  <si>
    <t>SW6A-CB2</t>
  </si>
  <si>
    <t>MIB02 [5000 AF/5000 AT]</t>
  </si>
  <si>
    <t>SW6A-CB3</t>
  </si>
  <si>
    <t>DP-6X-1 [400 AF/250 AT]</t>
  </si>
  <si>
    <t>SW6A-CB5</t>
  </si>
  <si>
    <t>DP-6X-2 [400 AF/400 AT]</t>
  </si>
  <si>
    <t>SW6A-CB6</t>
  </si>
  <si>
    <t>SW6A-CB7</t>
  </si>
  <si>
    <t>SW6A-CB8</t>
  </si>
  <si>
    <t>SW6A-CB9</t>
  </si>
  <si>
    <t>SW6A-CB10</t>
  </si>
  <si>
    <t>UPS-6X-1 [2000 AF/1600 AT]</t>
  </si>
  <si>
    <t>SW6A-CB11</t>
  </si>
  <si>
    <t>SW6A-CB12</t>
  </si>
  <si>
    <t>SW6A-PQM-1</t>
  </si>
  <si>
    <t>MAIN PQM</t>
  </si>
  <si>
    <t>SW6A-PQM-2</t>
  </si>
  <si>
    <t>DP-6A-1-PQM</t>
  </si>
  <si>
    <t>SW6A-PQM-3</t>
  </si>
  <si>
    <t>PD-6A-2-PQM</t>
  </si>
  <si>
    <t>SW6A-PQM-4</t>
  </si>
  <si>
    <t>CH-6A-PQM</t>
  </si>
  <si>
    <t>UP6A-CB1</t>
  </si>
  <si>
    <t>UP6A-CB3</t>
  </si>
  <si>
    <t>UP6A-CB4</t>
  </si>
  <si>
    <t>GEN SHORE [400 AF/200 AT]</t>
  </si>
  <si>
    <t>UP6A-CB5</t>
  </si>
  <si>
    <t>UPS-6X-1 [800 AF/600 AT]</t>
  </si>
  <si>
    <t>UP6A-CB6</t>
  </si>
  <si>
    <t>UPS-6X-2 [800 AF/600 AT]</t>
  </si>
  <si>
    <t>UP6A-CB7</t>
  </si>
  <si>
    <t>UPS-6X-3 [800 AF/600 AT]</t>
  </si>
  <si>
    <t>UP6A-CB8</t>
  </si>
  <si>
    <t>UPS-6X-4 [800 AF/600 AT]</t>
  </si>
  <si>
    <t>UP6A-CB9</t>
  </si>
  <si>
    <t>UP6A-CB10</t>
  </si>
  <si>
    <t>UP6A-CB11</t>
  </si>
  <si>
    <t>UOB-6X-1 [2000 AF/1600 AT]</t>
  </si>
  <si>
    <t>UP6A-CB12</t>
  </si>
  <si>
    <t>UP6A-PQM</t>
  </si>
  <si>
    <t>ODP6A-CB1</t>
  </si>
  <si>
    <t>MIB [1000 AF/1000 AT]</t>
  </si>
  <si>
    <t>ODP6A-CB2</t>
  </si>
  <si>
    <t>MBB [1000 AF/1000 AT]</t>
  </si>
  <si>
    <t>ODP6A-CB3</t>
  </si>
  <si>
    <t>ODP6A-CB4</t>
  </si>
  <si>
    <t>ODP6A-CB5</t>
  </si>
  <si>
    <t>ODP6A-CB6</t>
  </si>
  <si>
    <t>ODP6A-CB7</t>
  </si>
  <si>
    <t>ODP6A-CB8</t>
  </si>
  <si>
    <t>ODP6A-CB9</t>
  </si>
  <si>
    <t>ODP6A-CB10</t>
  </si>
  <si>
    <t>ODP6A-CB11</t>
  </si>
  <si>
    <t>ODP6A-CB12</t>
  </si>
  <si>
    <t>ODP6A-CB13</t>
  </si>
  <si>
    <t>ODP6A-PQM</t>
  </si>
  <si>
    <t>SW6B-CB1</t>
  </si>
  <si>
    <t>XFMR-6B</t>
  </si>
  <si>
    <t>SW6B-CB2</t>
  </si>
  <si>
    <t>SW6B-CB3</t>
  </si>
  <si>
    <t>SW6B-CB5</t>
  </si>
  <si>
    <t>SW6B-CB6</t>
  </si>
  <si>
    <t>SW6B-CB7</t>
  </si>
  <si>
    <t>SW6B-CB8</t>
  </si>
  <si>
    <t>SW6B-CB9</t>
  </si>
  <si>
    <t>SW6B-CB10</t>
  </si>
  <si>
    <t>SW6B-CB11</t>
  </si>
  <si>
    <t>SW6B-CB12</t>
  </si>
  <si>
    <t>SW6B-PQM-1</t>
  </si>
  <si>
    <t>SW6B-PQM-2</t>
  </si>
  <si>
    <t>DP-6B-1-PQM</t>
  </si>
  <si>
    <t>SW6B-PQM-3</t>
  </si>
  <si>
    <t>DP-6B-2-PQM</t>
  </si>
  <si>
    <t>SW6B-PQM-4</t>
  </si>
  <si>
    <t>CH-6B-PQM</t>
  </si>
  <si>
    <t>UP6B-CB1</t>
  </si>
  <si>
    <t>UP6B-CB3</t>
  </si>
  <si>
    <t>UP6B-CB4</t>
  </si>
  <si>
    <t>UP6B-CB5</t>
  </si>
  <si>
    <t>UP6B-CB6</t>
  </si>
  <si>
    <t>UP6B-CB7</t>
  </si>
  <si>
    <t>UP6B-CB8</t>
  </si>
  <si>
    <t>UP6B-CB9</t>
  </si>
  <si>
    <t>UP6B-CB10</t>
  </si>
  <si>
    <t>UP6B-CB11</t>
  </si>
  <si>
    <t>UP6B-CB12</t>
  </si>
  <si>
    <t>UP6B-PQM</t>
  </si>
  <si>
    <t>ODP6B-CB1</t>
  </si>
  <si>
    <t>ODP6B-CB2</t>
  </si>
  <si>
    <t>ODP6B-CB3</t>
  </si>
  <si>
    <t>ODP6B-CB4</t>
  </si>
  <si>
    <t>ODP6B-CB5</t>
  </si>
  <si>
    <t>ODP6B-CB6</t>
  </si>
  <si>
    <t>ODP6B-CB7</t>
  </si>
  <si>
    <t>ODP6B-CB8</t>
  </si>
  <si>
    <t>ODP6B-CB9</t>
  </si>
  <si>
    <t>ODP6B-CB10</t>
  </si>
  <si>
    <t>ODP6B-CB11</t>
  </si>
  <si>
    <t>ODP6B-CB12</t>
  </si>
  <si>
    <t>ODP6B-CB13</t>
  </si>
  <si>
    <t>ODP6B-PQM</t>
  </si>
  <si>
    <t>SW6C-CB1</t>
  </si>
  <si>
    <t>XFMR-6C</t>
  </si>
  <si>
    <t>SW6C-CB2</t>
  </si>
  <si>
    <t>SW6C-CB3</t>
  </si>
  <si>
    <t>SW6C-CB5</t>
  </si>
  <si>
    <t>SW6C-CB6</t>
  </si>
  <si>
    <t>SW6C-CB7</t>
  </si>
  <si>
    <t>SW6C-CB8</t>
  </si>
  <si>
    <t>SW6C-CB9</t>
  </si>
  <si>
    <t>SW6C-CB10</t>
  </si>
  <si>
    <t>SW6C-CB11</t>
  </si>
  <si>
    <t>SW6C-CB12</t>
  </si>
  <si>
    <t>SW6C-PQM-1</t>
  </si>
  <si>
    <t>SW6C-PQM-2</t>
  </si>
  <si>
    <t>DP-6C-1-PQM</t>
  </si>
  <si>
    <t>SW6C-PQM-3</t>
  </si>
  <si>
    <t>PD-6C-2-PQM</t>
  </si>
  <si>
    <t>SW6C-PQM-4</t>
  </si>
  <si>
    <t>CH-6C-PQM</t>
  </si>
  <si>
    <t>UP6C-CB1</t>
  </si>
  <si>
    <t>UP6C-CB3</t>
  </si>
  <si>
    <t>UP6C-CB4</t>
  </si>
  <si>
    <t>UP6C-CB5</t>
  </si>
  <si>
    <t>UP6C-CB6</t>
  </si>
  <si>
    <t>UP6C-CB7</t>
  </si>
  <si>
    <t>UP6C-CB8</t>
  </si>
  <si>
    <t>UP6C-CB9</t>
  </si>
  <si>
    <t>UP6C-CB10</t>
  </si>
  <si>
    <t>UP6C-CB11</t>
  </si>
  <si>
    <t>BUS-6C-6</t>
  </si>
  <si>
    <t>UP6C-CB12</t>
  </si>
  <si>
    <t>UP6C-PQM</t>
  </si>
  <si>
    <t>ODP6C-CB1</t>
  </si>
  <si>
    <t>ODP6C-CB2</t>
  </si>
  <si>
    <t>ODP6C-CB3</t>
  </si>
  <si>
    <t>ODP6C-CB4</t>
  </si>
  <si>
    <t>ODP6C-CB5</t>
  </si>
  <si>
    <t>ODP6C-CB6</t>
  </si>
  <si>
    <t>ODP6C-CB7</t>
  </si>
  <si>
    <t>ODP6C-CB8</t>
  </si>
  <si>
    <t>ODP6C-CB9</t>
  </si>
  <si>
    <t>ODP6C-CB10</t>
  </si>
  <si>
    <t>ODP6C-CB11</t>
  </si>
  <si>
    <t>ODP6C-CB12</t>
  </si>
  <si>
    <t>ODP6C-CB13</t>
  </si>
  <si>
    <t>ODP6C-PQM</t>
  </si>
  <si>
    <t>SW6D-CB1</t>
  </si>
  <si>
    <t>XFMR-6D</t>
  </si>
  <si>
    <t>SW6D-CB2</t>
  </si>
  <si>
    <t>SW6D-CB3</t>
  </si>
  <si>
    <t>SW6D-CB5</t>
  </si>
  <si>
    <t>SW6D-CB6</t>
  </si>
  <si>
    <t>SW6D-CB7</t>
  </si>
  <si>
    <t>SW6D-CB8</t>
  </si>
  <si>
    <t>SW6D-CB9</t>
  </si>
  <si>
    <t>SW6D-CB10</t>
  </si>
  <si>
    <t>SW6D-CB11</t>
  </si>
  <si>
    <t>SW6D-CB12</t>
  </si>
  <si>
    <t>SW6D-PQM-1</t>
  </si>
  <si>
    <t>SW6D-PQM-2</t>
  </si>
  <si>
    <t>DP-6D-1-PQM</t>
  </si>
  <si>
    <t>SW6D-PQM-3</t>
  </si>
  <si>
    <t>DP-6D-2-PQM</t>
  </si>
  <si>
    <t>SW6D-PQM-4</t>
  </si>
  <si>
    <t>CH-6D-PQM</t>
  </si>
  <si>
    <t>UP6D-CB1</t>
  </si>
  <si>
    <t>UP6D-CB3</t>
  </si>
  <si>
    <t>UP6D-CB4</t>
  </si>
  <si>
    <t>UP6D-CB5</t>
  </si>
  <si>
    <t>UP6D-CB6</t>
  </si>
  <si>
    <t>UP6D-CB7</t>
  </si>
  <si>
    <t>UP6D-CB8</t>
  </si>
  <si>
    <t>UP6D-CB9</t>
  </si>
  <si>
    <t>UP6D-CB10</t>
  </si>
  <si>
    <t>UP6D-CB11</t>
  </si>
  <si>
    <t>BUS-6D-6</t>
  </si>
  <si>
    <t>UP6D-CB12</t>
  </si>
  <si>
    <t>UP6D-PQM</t>
  </si>
  <si>
    <t>ODP6D-CB1</t>
  </si>
  <si>
    <t>ODP6D-CB2</t>
  </si>
  <si>
    <t>ODP6D-CB3</t>
  </si>
  <si>
    <t>ODP6D-CB4</t>
  </si>
  <si>
    <t>ODP6D-CB5</t>
  </si>
  <si>
    <t>ODP6D-CB6</t>
  </si>
  <si>
    <t>ODP6D-CB7</t>
  </si>
  <si>
    <t>ODP6D-CB8</t>
  </si>
  <si>
    <t>ODP6D-CB9</t>
  </si>
  <si>
    <t>ODP6D-CB10</t>
  </si>
  <si>
    <t>ODP6D-CB11</t>
  </si>
  <si>
    <t>ODP6D-CB12</t>
  </si>
  <si>
    <t>ODP6D-CB13</t>
  </si>
  <si>
    <t>ODP6D-PQM</t>
  </si>
  <si>
    <t>SW6E-CB1</t>
  </si>
  <si>
    <t>XFMR-6E</t>
  </si>
  <si>
    <t>SW6E-CB2</t>
  </si>
  <si>
    <t>SW6E-CB3</t>
  </si>
  <si>
    <t>SW6E-CB5</t>
  </si>
  <si>
    <t>SW6E-CB6</t>
  </si>
  <si>
    <t>SW6E-CB7</t>
  </si>
  <si>
    <t>SW6E-CB8</t>
  </si>
  <si>
    <t>SW6E-CB9</t>
  </si>
  <si>
    <t>SW6E-CB10</t>
  </si>
  <si>
    <t>SW6E-CB11</t>
  </si>
  <si>
    <t>SW6E-CB12</t>
  </si>
  <si>
    <t>SW6E-PQM-1</t>
  </si>
  <si>
    <t>SW6E-PQM-2</t>
  </si>
  <si>
    <t>DP-6E-1-PQM</t>
  </si>
  <si>
    <t>SW6E-PQM-3</t>
  </si>
  <si>
    <t>PD-6E-2-PQM</t>
  </si>
  <si>
    <t>SW6E-PQM-4</t>
  </si>
  <si>
    <t>CH-6E-PQM</t>
  </si>
  <si>
    <t>UP6E-CB1</t>
  </si>
  <si>
    <t>UP6E-CB3</t>
  </si>
  <si>
    <t>UP6E-CB4</t>
  </si>
  <si>
    <t>UP6E-CB5</t>
  </si>
  <si>
    <t>UP6E-CB6</t>
  </si>
  <si>
    <t>UP6E-CB7</t>
  </si>
  <si>
    <t>UP6E-CB8</t>
  </si>
  <si>
    <t>UP6E-CB9</t>
  </si>
  <si>
    <t>UP6E-CB10</t>
  </si>
  <si>
    <t>UP6E-CB11</t>
  </si>
  <si>
    <t>UP6E-CB12</t>
  </si>
  <si>
    <t>UP6E-PQM</t>
  </si>
  <si>
    <t>ODP6E-CB1</t>
  </si>
  <si>
    <t>ODP6E-CB2</t>
  </si>
  <si>
    <t>ODP6E-CB3</t>
  </si>
  <si>
    <t>ODP6E-CB4</t>
  </si>
  <si>
    <t>ODP6E-CB5</t>
  </si>
  <si>
    <t>ODP6E-CB6</t>
  </si>
  <si>
    <t>ODP6E-CB7</t>
  </si>
  <si>
    <t>ODP6E-CB8</t>
  </si>
  <si>
    <t>ODP6E-CB9</t>
  </si>
  <si>
    <t>ODP6E-CB10</t>
  </si>
  <si>
    <t>ODP6E-CB11</t>
  </si>
  <si>
    <t>ODP6E-CB12</t>
  </si>
  <si>
    <t>ODP6E-CB13</t>
  </si>
  <si>
    <t>ODP6E-PQM</t>
  </si>
  <si>
    <t>SEL-751</t>
  </si>
  <si>
    <t>MCB-01</t>
  </si>
  <si>
    <t>FCB-01</t>
  </si>
  <si>
    <t>FCB-02</t>
  </si>
  <si>
    <t>FCB-03</t>
  </si>
  <si>
    <t>SEL-735</t>
  </si>
  <si>
    <t>MAIN-PQM</t>
  </si>
  <si>
    <t>FPRM - SEL 751</t>
  </si>
  <si>
    <t>SWGR-UA2-CB1</t>
  </si>
  <si>
    <t>MCB1</t>
  </si>
  <si>
    <t>FPRM TIE - SEL 751</t>
  </si>
  <si>
    <t>SWGR-UA2-CB2</t>
  </si>
  <si>
    <t>MCB2</t>
  </si>
  <si>
    <t>FEEDER 1 - SEL 787</t>
  </si>
  <si>
    <t>SWGR-UA2-CB3</t>
  </si>
  <si>
    <t>FEEDER 2 - SEL 787</t>
  </si>
  <si>
    <t>SWGR-UA2-CB4</t>
  </si>
  <si>
    <t>FEEDER 3 - SEL 787</t>
  </si>
  <si>
    <t>SWGR-UA2-CB5</t>
  </si>
  <si>
    <t>FEEDER 4 - SEL 787</t>
  </si>
  <si>
    <t>SWGR-UA2-CB6</t>
  </si>
  <si>
    <t>FEEDER 5 - SEL 787</t>
  </si>
  <si>
    <t>SWGR-UA2-CB7</t>
  </si>
  <si>
    <t>PQM - SEL 735</t>
  </si>
  <si>
    <t>SWGR-UA2-PQM</t>
  </si>
  <si>
    <t>SWGR-UB2-CB1</t>
  </si>
  <si>
    <t>SWGR-UB2-CB2</t>
  </si>
  <si>
    <t>SWGR-UB2-CB3</t>
  </si>
  <si>
    <t>SWGR-UB2-CB4</t>
  </si>
  <si>
    <t>SWGR-UB2-CB5</t>
  </si>
  <si>
    <t>SWGR-UB2-CB6</t>
  </si>
  <si>
    <t>SWGR-UB2-CB7</t>
  </si>
  <si>
    <t>SWGR-UB2-PQM</t>
  </si>
  <si>
    <t>MVSWGR-A1-CB1</t>
  </si>
  <si>
    <t>FEEDER 1 - SEL 751</t>
  </si>
  <si>
    <t>MVSWGR-A1-CB2</t>
  </si>
  <si>
    <t>FEEDER 2 - SEL 751</t>
  </si>
  <si>
    <t>MVSWGR-A1-CB3</t>
  </si>
  <si>
    <t>FEEDER 3 - SEL 751</t>
  </si>
  <si>
    <t>MVSWGR-A1-CB4</t>
  </si>
  <si>
    <t>FEEDER 4 - SEL 751</t>
  </si>
  <si>
    <t>MVSWGR-A1-CB5</t>
  </si>
  <si>
    <t>FEEDER 5 - SEL 751</t>
  </si>
  <si>
    <t>MVSWGR-A1-CB6</t>
  </si>
  <si>
    <t>FEEDER 6 - SEL 751</t>
  </si>
  <si>
    <t>MVSWGR-A1-CB7</t>
  </si>
  <si>
    <t>MVSWGR-A1-PQM</t>
  </si>
  <si>
    <t>MVSWGR-B1-CB1</t>
  </si>
  <si>
    <t>MVSWGR-B1-CB2</t>
  </si>
  <si>
    <t>MVSWGR-B1-CB3</t>
  </si>
  <si>
    <t>MVSWGR-B1-CB4</t>
  </si>
  <si>
    <t>MVSWGR-B1-CB5</t>
  </si>
  <si>
    <t>MVSWGR-B1-CB6</t>
  </si>
  <si>
    <t>MVSWGR-B1-PQM</t>
  </si>
  <si>
    <t>MVSWGR-A2-CB2</t>
  </si>
  <si>
    <t>MVSWGR-A2-CB3</t>
  </si>
  <si>
    <t>MVSWGR-A2-CB4</t>
  </si>
  <si>
    <t>MVSWGR-A2-CB5</t>
  </si>
  <si>
    <t>MVSWGR-A2-CB6</t>
  </si>
  <si>
    <t>MVSWGR-A2-PQM</t>
  </si>
  <si>
    <t>MVSWGR-B2-CB2</t>
  </si>
  <si>
    <t>MVSWGR-B2-CB3</t>
  </si>
  <si>
    <t>MVSWGR-B2-CB4</t>
  </si>
  <si>
    <t>MVSWGR-B2-CB5</t>
  </si>
  <si>
    <t>MVSWGR-B2-CB6</t>
  </si>
  <si>
    <t>MVSWGR-B2-PQM</t>
  </si>
  <si>
    <t>SW3A-CB1</t>
  </si>
  <si>
    <t>SW3A-CB2</t>
  </si>
  <si>
    <t>CH-X-1 [1200 AF/1200 AT]</t>
  </si>
  <si>
    <t>SW3A-CB4</t>
  </si>
  <si>
    <t>GEN SHORE [400 AF/100 AT]</t>
  </si>
  <si>
    <t>SW3A-CB5</t>
  </si>
  <si>
    <t>UPS-X-1 [2000 AF/2000AT]</t>
  </si>
  <si>
    <t>SW3A-CB6</t>
  </si>
  <si>
    <t>UPS-X-2 [2000 AF/2000 AT]</t>
  </si>
  <si>
    <t>SW3A-CB7</t>
  </si>
  <si>
    <t>SW3A-CB8</t>
  </si>
  <si>
    <t>SW3A-PQM-1</t>
  </si>
  <si>
    <t>Main Power Quality Meter</t>
  </si>
  <si>
    <t>SW3A-PQM-2</t>
  </si>
  <si>
    <t>CH-3A Power Quality Meter</t>
  </si>
  <si>
    <t>UP3A-CB1</t>
  </si>
  <si>
    <t>MIB [4000 AF/3500 AT]</t>
  </si>
  <si>
    <t>UP3A-CB3</t>
  </si>
  <si>
    <t>UP3A-CB4</t>
  </si>
  <si>
    <t>UP3A-CB5</t>
  </si>
  <si>
    <t>UP3A-CB6</t>
  </si>
  <si>
    <t>UP3A-CB7</t>
  </si>
  <si>
    <t>UP3A-CB8</t>
  </si>
  <si>
    <t>UP3A-CB9</t>
  </si>
  <si>
    <t>UP3A-CB10</t>
  </si>
  <si>
    <t>UP3A-CB11</t>
  </si>
  <si>
    <t>UP3A-CB12</t>
  </si>
  <si>
    <t>UP3A-CB13</t>
  </si>
  <si>
    <t>UP3A-PQM</t>
  </si>
  <si>
    <t>XFMR-3A</t>
  </si>
  <si>
    <t>SW3B-CB1</t>
  </si>
  <si>
    <t>SW3B-CB2</t>
  </si>
  <si>
    <t>SW3B-CB4</t>
  </si>
  <si>
    <t>SW3B-CB5</t>
  </si>
  <si>
    <t>SW3B-CB6</t>
  </si>
  <si>
    <t>SW3B-CB7</t>
  </si>
  <si>
    <t>SW3B-CB8</t>
  </si>
  <si>
    <t>SW3B-PQM-1</t>
  </si>
  <si>
    <t>SW3B-PQM-2</t>
  </si>
  <si>
    <t>CH-3B Power Quality Meter</t>
  </si>
  <si>
    <t>UP3B-CB1</t>
  </si>
  <si>
    <t>UP3B-CB3</t>
  </si>
  <si>
    <t>UP3B-CB4</t>
  </si>
  <si>
    <t>UP3B-CB5</t>
  </si>
  <si>
    <t>UP3B-CB6</t>
  </si>
  <si>
    <t>UP3B-CB7</t>
  </si>
  <si>
    <t>UP3B-CB8</t>
  </si>
  <si>
    <t>UP3B-CB9</t>
  </si>
  <si>
    <t>UP3B-CB10</t>
  </si>
  <si>
    <t>UP3B-CB11</t>
  </si>
  <si>
    <t>UP3B-CB12</t>
  </si>
  <si>
    <t>UP3B-CB13</t>
  </si>
  <si>
    <t>UP3B-PQM</t>
  </si>
  <si>
    <t>XFMR-3B</t>
  </si>
  <si>
    <t>SW3C-CB1</t>
  </si>
  <si>
    <t>SW3C-CB2</t>
  </si>
  <si>
    <t>SW3C-CB4</t>
  </si>
  <si>
    <t>SW3C-CB5</t>
  </si>
  <si>
    <t>SW3C-CB6</t>
  </si>
  <si>
    <t>SW3C-CB7</t>
  </si>
  <si>
    <t>SW3C-CB8</t>
  </si>
  <si>
    <t>SW3C-PQM-1</t>
  </si>
  <si>
    <t>SW3C-PQM-2</t>
  </si>
  <si>
    <t>CH-3C Power Quality Meter</t>
  </si>
  <si>
    <t>UP3C-CB1</t>
  </si>
  <si>
    <t>UP3C-CB3</t>
  </si>
  <si>
    <t>UP3C-CB4</t>
  </si>
  <si>
    <t>UP3C-CB5</t>
  </si>
  <si>
    <t>UP3C-CB6</t>
  </si>
  <si>
    <t>UP3C-CB7</t>
  </si>
  <si>
    <t>UP3C-CB8</t>
  </si>
  <si>
    <t>UP3C-CB9</t>
  </si>
  <si>
    <t>UP3C-CB10</t>
  </si>
  <si>
    <t>UP3C-CB11</t>
  </si>
  <si>
    <t>UP3C-CB12</t>
  </si>
  <si>
    <t>UP3C-CB13</t>
  </si>
  <si>
    <t>UP3C-PQM</t>
  </si>
  <si>
    <t>XFMR-3C</t>
  </si>
  <si>
    <t>SW3D-CB1</t>
  </si>
  <si>
    <t>SW3D-CB2</t>
  </si>
  <si>
    <t>SW3D-CB4</t>
  </si>
  <si>
    <t>SW3D-CB5</t>
  </si>
  <si>
    <t>SW3D-CB6</t>
  </si>
  <si>
    <t>SW3D-CB7</t>
  </si>
  <si>
    <t>SW3D-CB8</t>
  </si>
  <si>
    <t>SW3D-PQM-1</t>
  </si>
  <si>
    <t>SW3D-PQM-2</t>
  </si>
  <si>
    <t>CH-3D Power Quality Meter</t>
  </si>
  <si>
    <t>UP3D-CB1</t>
  </si>
  <si>
    <t>UP3D-CB3</t>
  </si>
  <si>
    <t>UP3D-CB4</t>
  </si>
  <si>
    <t>UP3D-CB5</t>
  </si>
  <si>
    <t>UP3D-CB6</t>
  </si>
  <si>
    <t>UP3D-CB7</t>
  </si>
  <si>
    <t>UP3D-CB8</t>
  </si>
  <si>
    <t>UP3D-CB9</t>
  </si>
  <si>
    <t>UP3D-CB10</t>
  </si>
  <si>
    <t>UP3D-CB11</t>
  </si>
  <si>
    <t>UP3D-CB12</t>
  </si>
  <si>
    <t>UP3D-CB13</t>
  </si>
  <si>
    <t>UP3D-PQM</t>
  </si>
  <si>
    <t>XFMR-3D</t>
  </si>
  <si>
    <t>SW4A-CB1</t>
  </si>
  <si>
    <t>SW4A-CB2</t>
  </si>
  <si>
    <t>SW4A-CB4</t>
  </si>
  <si>
    <t>SW4A-CB5</t>
  </si>
  <si>
    <t>SW4A-CB6</t>
  </si>
  <si>
    <t>SW4A-CB7</t>
  </si>
  <si>
    <t>SW4A-CB8</t>
  </si>
  <si>
    <t>SW4A-PQM-1</t>
  </si>
  <si>
    <t>SW4A-PQM-2</t>
  </si>
  <si>
    <t>CH-4A Power Quality Meter</t>
  </si>
  <si>
    <t>UP4A-CB1</t>
  </si>
  <si>
    <t>UP4A-CB3</t>
  </si>
  <si>
    <t>UP4A-CB4</t>
  </si>
  <si>
    <t>UP4A-CB5</t>
  </si>
  <si>
    <t>UP4A-CB6</t>
  </si>
  <si>
    <t>UP4A-CB7</t>
  </si>
  <si>
    <t>UP4A-CB8</t>
  </si>
  <si>
    <t>UP4A-CB9</t>
  </si>
  <si>
    <t>UP4A-CB10</t>
  </si>
  <si>
    <t>UP4A-CB11</t>
  </si>
  <si>
    <t>UP4A-CB12</t>
  </si>
  <si>
    <t>UP4A-CB13</t>
  </si>
  <si>
    <t>UP4A-PQM</t>
  </si>
  <si>
    <t>XFMR-4A</t>
  </si>
  <si>
    <t>SW4B-CB1</t>
  </si>
  <si>
    <t>SW4B-CB2</t>
  </si>
  <si>
    <t>SW4B-CB4</t>
  </si>
  <si>
    <t>SW4B-CB5</t>
  </si>
  <si>
    <t>SW4B-CB6</t>
  </si>
  <si>
    <t>SW4B-CB7</t>
  </si>
  <si>
    <t>SW4B-CB8</t>
  </si>
  <si>
    <t>SW4B-PQM-1</t>
  </si>
  <si>
    <t>SW4B-PQM-2</t>
  </si>
  <si>
    <t>CH-4B Power Quality Meter</t>
  </si>
  <si>
    <t>UP4B-CB1</t>
  </si>
  <si>
    <t>UP4B-CB3</t>
  </si>
  <si>
    <t>UP4B-CB4</t>
  </si>
  <si>
    <t>UP4B-CB5</t>
  </si>
  <si>
    <t>UP4B-CB6</t>
  </si>
  <si>
    <t>UP4B-CB7</t>
  </si>
  <si>
    <t>UP4B-CB8</t>
  </si>
  <si>
    <t>UP4B-CB9</t>
  </si>
  <si>
    <t>UP4B-CB10</t>
  </si>
  <si>
    <t>UP4B-CB11</t>
  </si>
  <si>
    <t>UP4B-CB12</t>
  </si>
  <si>
    <t>UP4B-CB13</t>
  </si>
  <si>
    <t>UP4B-PQM</t>
  </si>
  <si>
    <t>XFMR-4B</t>
  </si>
  <si>
    <t>SW4C-CB1</t>
  </si>
  <si>
    <t>SW4C-CB2</t>
  </si>
  <si>
    <t>SW4C-CB4</t>
  </si>
  <si>
    <t>SW4C-CB5</t>
  </si>
  <si>
    <t>SW4C-CB6</t>
  </si>
  <si>
    <t>SW4C-CB7</t>
  </si>
  <si>
    <t>SW4C-CB8</t>
  </si>
  <si>
    <t>SW4C-PQM-1</t>
  </si>
  <si>
    <t>SW4C-PQM-2</t>
  </si>
  <si>
    <t>CH-4C Power Quality Meter</t>
  </si>
  <si>
    <t>UP4C-CB1</t>
  </si>
  <si>
    <t>UP4C-CB3</t>
  </si>
  <si>
    <t>UP4C-CB4</t>
  </si>
  <si>
    <t>UP4C-CB5</t>
  </si>
  <si>
    <t>UP4C-CB6</t>
  </si>
  <si>
    <t>UP4C-CB7</t>
  </si>
  <si>
    <t>UP4C-CB8</t>
  </si>
  <si>
    <t>UP4C-CB9</t>
  </si>
  <si>
    <t>UP4C-CB10</t>
  </si>
  <si>
    <t>UP4C-CB11</t>
  </si>
  <si>
    <t>UP4C-CB12</t>
  </si>
  <si>
    <t>UP4C-CB13</t>
  </si>
  <si>
    <t>UP4C-PQM</t>
  </si>
  <si>
    <t>XFMR-4C</t>
  </si>
  <si>
    <t>SW4D-CB1</t>
  </si>
  <si>
    <t>SW4D-CB2</t>
  </si>
  <si>
    <t>SW4D-CB4</t>
  </si>
  <si>
    <t>SW4D-CB5</t>
  </si>
  <si>
    <t>SW4D-CB6</t>
  </si>
  <si>
    <t>SW4D-CB7</t>
  </si>
  <si>
    <t>SW4D-CB8</t>
  </si>
  <si>
    <t>SW4D-PQM-1</t>
  </si>
  <si>
    <t>SW4D-PQM-2</t>
  </si>
  <si>
    <t>CH-4D Power Quality Meter</t>
  </si>
  <si>
    <t>UP4D-CB1</t>
  </si>
  <si>
    <t>UP4D-CB3</t>
  </si>
  <si>
    <t>UP4D-CB4</t>
  </si>
  <si>
    <t>UP4D-CB5</t>
  </si>
  <si>
    <t>UP4D-CB6</t>
  </si>
  <si>
    <t>UP4D-CB7</t>
  </si>
  <si>
    <t>UP4D-CB8</t>
  </si>
  <si>
    <t>UP4D-CB9</t>
  </si>
  <si>
    <t>UP4D-CB10</t>
  </si>
  <si>
    <t>UP4D-CB11</t>
  </si>
  <si>
    <t>UP4D-CB12</t>
  </si>
  <si>
    <t>UP4D-CB13</t>
  </si>
  <si>
    <t>UP4D-PQM</t>
  </si>
  <si>
    <t>XFMR-4D</t>
  </si>
  <si>
    <t>SW5A-CB1</t>
  </si>
  <si>
    <t>SW5A-CB2</t>
  </si>
  <si>
    <t>SW5A-CB4</t>
  </si>
  <si>
    <t>SW5A-CB5</t>
  </si>
  <si>
    <t>SW5A-CB6</t>
  </si>
  <si>
    <t>SW5A-CB7</t>
  </si>
  <si>
    <t>SW5A-CB8</t>
  </si>
  <si>
    <t>SW5A-PQM-1</t>
  </si>
  <si>
    <t>SW5A-PQM-2</t>
  </si>
  <si>
    <t>CH-5A Power Quality Meter</t>
  </si>
  <si>
    <t>UP5A-CB1</t>
  </si>
  <si>
    <t>UP5A-CB3</t>
  </si>
  <si>
    <t>UP5A-CB4</t>
  </si>
  <si>
    <t>UP5A-CB5</t>
  </si>
  <si>
    <t>UP5A-CB6</t>
  </si>
  <si>
    <t>UP5A-CB7</t>
  </si>
  <si>
    <t>UP5A-CB8</t>
  </si>
  <si>
    <t>UP5A-CB9</t>
  </si>
  <si>
    <t>UP5A-CB10</t>
  </si>
  <si>
    <t>UP5A-CB11</t>
  </si>
  <si>
    <t>UP5A-CB12</t>
  </si>
  <si>
    <t>UP5A-CB13</t>
  </si>
  <si>
    <t>UP5A-PQM</t>
  </si>
  <si>
    <t>XFMR-5A</t>
  </si>
  <si>
    <t>SW5B-CB1</t>
  </si>
  <si>
    <t>SW5B-CB2</t>
  </si>
  <si>
    <t>SW5B-CB4</t>
  </si>
  <si>
    <t>SW5B-CB5</t>
  </si>
  <si>
    <t>SW5B-CB6</t>
  </si>
  <si>
    <t>SW5B-CB7</t>
  </si>
  <si>
    <t>SW5B-CB8</t>
  </si>
  <si>
    <t>SW5B-PQM-1</t>
  </si>
  <si>
    <t>SW5B-PQM-2</t>
  </si>
  <si>
    <t>CH-5B Power Quality Meter</t>
  </si>
  <si>
    <t>UP5B-CB1</t>
  </si>
  <si>
    <t>UP5B-CB3</t>
  </si>
  <si>
    <t>UP5B-CB4</t>
  </si>
  <si>
    <t>UP5B-CB5</t>
  </si>
  <si>
    <t>UP5B-CB6</t>
  </si>
  <si>
    <t>UP5B-CB7</t>
  </si>
  <si>
    <t>UP5B-CB8</t>
  </si>
  <si>
    <t>UP5B-CB9</t>
  </si>
  <si>
    <t>UP5B-CB10</t>
  </si>
  <si>
    <t>UP5B-CB11</t>
  </si>
  <si>
    <t>UP5B-CB12</t>
  </si>
  <si>
    <t>UP5B-CB13</t>
  </si>
  <si>
    <t>UP5B-PQM</t>
  </si>
  <si>
    <t>XFMR-5B</t>
  </si>
  <si>
    <t>SW5C-CB1</t>
  </si>
  <si>
    <t>SW5C-CB2</t>
  </si>
  <si>
    <t>SW5C-CB4</t>
  </si>
  <si>
    <t>SW5C-CB5</t>
  </si>
  <si>
    <t>SW5C-CB6</t>
  </si>
  <si>
    <t>SW5C-CB7</t>
  </si>
  <si>
    <t>SW5C-CB8</t>
  </si>
  <si>
    <t>SW5C-PQM-1</t>
  </si>
  <si>
    <t>SW5C-PQM-2</t>
  </si>
  <si>
    <t>CH-5C Power Quality Meter</t>
  </si>
  <si>
    <t>UP5C-CB1</t>
  </si>
  <si>
    <t>UP5C-CB3</t>
  </si>
  <si>
    <t>UP5C-CB4</t>
  </si>
  <si>
    <t>UP5C-CB5</t>
  </si>
  <si>
    <t>UP5C-CB6</t>
  </si>
  <si>
    <t>UP5C-CB7</t>
  </si>
  <si>
    <t>UP5C-CB8</t>
  </si>
  <si>
    <t>UP5C-CB9</t>
  </si>
  <si>
    <t>UP5C-CB10</t>
  </si>
  <si>
    <t>UP5C-CB11</t>
  </si>
  <si>
    <t>UP5C-CB12</t>
  </si>
  <si>
    <t>UP5C-CB13</t>
  </si>
  <si>
    <t>UP5C-PQM</t>
  </si>
  <si>
    <t>XFMR-5C</t>
  </si>
  <si>
    <t>SW5D-CB1</t>
  </si>
  <si>
    <t>SW5D-CB2</t>
  </si>
  <si>
    <t>SW5D-CB4</t>
  </si>
  <si>
    <t>SW5D-CB5</t>
  </si>
  <si>
    <t>SW5D-CB6</t>
  </si>
  <si>
    <t>SW5D-CB7</t>
  </si>
  <si>
    <t>SW5D-CB8</t>
  </si>
  <si>
    <t>SW5D-PQM-1</t>
  </si>
  <si>
    <t>SW5D-PQM-2</t>
  </si>
  <si>
    <t>CH-5D Power Quality Meter</t>
  </si>
  <si>
    <t>UP5D-CB1</t>
  </si>
  <si>
    <t>UP5D-CB3</t>
  </si>
  <si>
    <t>UP5D-CB4</t>
  </si>
  <si>
    <t>UP5D-CB5</t>
  </si>
  <si>
    <t>UP5D-CB6</t>
  </si>
  <si>
    <t>UP5D-CB7</t>
  </si>
  <si>
    <t>UP5D-CB8</t>
  </si>
  <si>
    <t>UP5D-CB9</t>
  </si>
  <si>
    <t>UP5D-CB10</t>
  </si>
  <si>
    <t>UP5D-CB11</t>
  </si>
  <si>
    <t>UP5D-CB12</t>
  </si>
  <si>
    <t>UP5D-CB13</t>
  </si>
  <si>
    <t>UP5D-PQM</t>
  </si>
  <si>
    <t>XFMR-5D</t>
  </si>
  <si>
    <t>Uninterruptible Power Supply</t>
  </si>
  <si>
    <t>UPS-H1-1</t>
  </si>
  <si>
    <t>MUPS-6A</t>
  </si>
  <si>
    <t>UPS-6A</t>
  </si>
  <si>
    <t>MUPS-6B</t>
  </si>
  <si>
    <t>UPS-6B</t>
  </si>
  <si>
    <t>MUPS-6C</t>
  </si>
  <si>
    <t>UPS-6C</t>
  </si>
  <si>
    <t>MUPS-6D</t>
  </si>
  <si>
    <t>UPS-6D</t>
  </si>
  <si>
    <t>MUPS-6E</t>
  </si>
  <si>
    <t>UPS-6E</t>
  </si>
  <si>
    <t>MUPS-7A</t>
  </si>
  <si>
    <t>UPS-7A</t>
  </si>
  <si>
    <t>MUPS-7B</t>
  </si>
  <si>
    <t>UPS-7B</t>
  </si>
  <si>
    <t>MUPS-7C</t>
  </si>
  <si>
    <t>UPS-7C</t>
  </si>
  <si>
    <t>MUPS-7D</t>
  </si>
  <si>
    <t>UPS-7D</t>
  </si>
  <si>
    <t>MUPS-7E</t>
  </si>
  <si>
    <t>UPS-7E</t>
  </si>
  <si>
    <t>MV-XFMR-A1</t>
  </si>
  <si>
    <t>Medium Voltage Transformer</t>
  </si>
  <si>
    <t>MV-XFMR-B1</t>
  </si>
  <si>
    <t>MV-XFMR-A2</t>
  </si>
  <si>
    <t>MV-XFMR-B2</t>
  </si>
  <si>
    <t>Transformer</t>
  </si>
  <si>
    <t>Medium Voltage Transfer Pairs???</t>
  </si>
  <si>
    <t>IP Address</t>
  </si>
  <si>
    <t>Subnet</t>
  </si>
  <si>
    <t>255.255.248.0</t>
  </si>
  <si>
    <t>172.24.248.1</t>
  </si>
  <si>
    <t>172.24.253.002</t>
  </si>
  <si>
    <t>172.24.253.004</t>
  </si>
  <si>
    <t>172.24.253.012</t>
  </si>
  <si>
    <t>172.24.253.013</t>
  </si>
  <si>
    <t>172.24.253.007</t>
  </si>
  <si>
    <t>172.24.253.008</t>
  </si>
  <si>
    <t>172.24.253.009</t>
  </si>
  <si>
    <t>172.24.253.010</t>
  </si>
  <si>
    <t>172.24.253.011</t>
  </si>
  <si>
    <t>172.24.253.006</t>
  </si>
  <si>
    <t>172.24.253.014</t>
  </si>
  <si>
    <t>172.24.253.026</t>
  </si>
  <si>
    <t>172.24.253.015</t>
  </si>
  <si>
    <t>172.24.253.016</t>
  </si>
  <si>
    <t>172.24.253.025</t>
  </si>
  <si>
    <t>172.24.253.024</t>
  </si>
  <si>
    <t>172.24.253.018</t>
  </si>
  <si>
    <t>172.24.253.019</t>
  </si>
  <si>
    <t>172.24.253.020</t>
  </si>
  <si>
    <t>172.24.253.021</t>
  </si>
  <si>
    <t>172.24.253.022</t>
  </si>
  <si>
    <t>172.24.253.023</t>
  </si>
  <si>
    <t>172.24.253.017</t>
  </si>
  <si>
    <t>172.24.253.027</t>
  </si>
  <si>
    <t>172.24.253.003</t>
  </si>
  <si>
    <t>172.24.253.028</t>
  </si>
  <si>
    <t>172.24.253.029</t>
  </si>
  <si>
    <t>172.24.253.042</t>
  </si>
  <si>
    <t>172.24.253.031</t>
  </si>
  <si>
    <t>172.24.253.030</t>
  </si>
  <si>
    <t>172.24.253.039</t>
  </si>
  <si>
    <t>172.24.253.032</t>
  </si>
  <si>
    <t>172.24.253.033</t>
  </si>
  <si>
    <t>172.24.253.034</t>
  </si>
  <si>
    <t>172.24.253.035</t>
  </si>
  <si>
    <t>172.24.253.036</t>
  </si>
  <si>
    <t>172.24.253.037</t>
  </si>
  <si>
    <t>172.24.253.038</t>
  </si>
  <si>
    <t>172.24.253.041</t>
  </si>
  <si>
    <t>172.24.253.040</t>
  </si>
  <si>
    <t>YES</t>
  </si>
  <si>
    <t>172.24.253.043</t>
  </si>
  <si>
    <t>172.24.248.51</t>
  </si>
  <si>
    <t>172.24.248.52</t>
  </si>
  <si>
    <t>172.24.248.53</t>
  </si>
  <si>
    <t>172.24.248.54</t>
  </si>
  <si>
    <t>172.24.248.55</t>
  </si>
  <si>
    <t>172.24.248.56</t>
  </si>
  <si>
    <t>172.24.248.57</t>
  </si>
  <si>
    <t>172.24.248.58</t>
  </si>
  <si>
    <t>172.24.248.59</t>
  </si>
  <si>
    <t>172.24.248.60</t>
  </si>
  <si>
    <t>172.24.248.61</t>
  </si>
  <si>
    <t>172.24.248.62</t>
  </si>
  <si>
    <t>172.24.248.63</t>
  </si>
  <si>
    <t>172.24.248.64</t>
  </si>
  <si>
    <t>172.24.248.65</t>
  </si>
  <si>
    <t>172.24.248.66</t>
  </si>
  <si>
    <t>172.24.248.67</t>
  </si>
  <si>
    <t>172.24.248.68</t>
  </si>
  <si>
    <t>172.24.248.69</t>
  </si>
  <si>
    <t>172.24.248.70</t>
  </si>
  <si>
    <t>172.24.248.71</t>
  </si>
  <si>
    <t>172.24.248.72</t>
  </si>
  <si>
    <t>172.24.248.73</t>
  </si>
  <si>
    <t>172.24.248.74</t>
  </si>
  <si>
    <t>172.24.248.75</t>
  </si>
  <si>
    <t>172.24.248.76</t>
  </si>
  <si>
    <t>172.24.248.77</t>
  </si>
  <si>
    <t>172.24.248.78</t>
  </si>
  <si>
    <t>172.24.248.79</t>
  </si>
  <si>
    <t>172.24.248.80</t>
  </si>
  <si>
    <t>172.24.248.81</t>
  </si>
  <si>
    <t>172.24.248.82</t>
  </si>
  <si>
    <t>172.24.248.83</t>
  </si>
  <si>
    <t>172.24.248.84</t>
  </si>
  <si>
    <t>172.24.248.85</t>
  </si>
  <si>
    <t>172.24.248.86</t>
  </si>
  <si>
    <t>172.24.248.87</t>
  </si>
  <si>
    <t>172.24.248.88</t>
  </si>
  <si>
    <t>172.24.248.89</t>
  </si>
  <si>
    <t>172.24.248.90</t>
  </si>
  <si>
    <t>172.24.248.91</t>
  </si>
  <si>
    <t>172.24.248.92</t>
  </si>
  <si>
    <t>172.24.248.93</t>
  </si>
  <si>
    <t>172.24.248.94</t>
  </si>
  <si>
    <t>172.24.248.95</t>
  </si>
  <si>
    <t>172.24.248.96</t>
  </si>
  <si>
    <t>172.24.248.97</t>
  </si>
  <si>
    <t>172.24.248.98</t>
  </si>
  <si>
    <t>172.24.248.99</t>
  </si>
  <si>
    <t>172.24.248.100</t>
  </si>
  <si>
    <t>172.24.248.101</t>
  </si>
  <si>
    <t>172.24.248.102</t>
  </si>
  <si>
    <t>172.24.248.103</t>
  </si>
  <si>
    <t>172.24.248.104</t>
  </si>
  <si>
    <t>172.24.248.105</t>
  </si>
  <si>
    <t>172.24.248.106</t>
  </si>
  <si>
    <t>172.24.248.107</t>
  </si>
  <si>
    <t>172.24.248.108</t>
  </si>
  <si>
    <t>172.24.248.109</t>
  </si>
  <si>
    <t>172.24.248.110</t>
  </si>
  <si>
    <t>172.24.248.111</t>
  </si>
  <si>
    <t>172.24.248.112</t>
  </si>
  <si>
    <t>172.24.248.113</t>
  </si>
  <si>
    <t>172.24.248.114</t>
  </si>
  <si>
    <t>172.24.248.115</t>
  </si>
  <si>
    <t>172.24.248.116</t>
  </si>
  <si>
    <t>172.24.248.117</t>
  </si>
  <si>
    <t>172.24.248.118</t>
  </si>
  <si>
    <t>172.24.248.119</t>
  </si>
  <si>
    <t>172.24.248.120</t>
  </si>
  <si>
    <t>172.24.248.121</t>
  </si>
  <si>
    <t>172.24.248.122</t>
  </si>
  <si>
    <t>172.24.248.123</t>
  </si>
  <si>
    <t>172.24.248.124</t>
  </si>
  <si>
    <t>172.24.248.125</t>
  </si>
  <si>
    <t>172.24.248.126</t>
  </si>
  <si>
    <t>172.24.248.127</t>
  </si>
  <si>
    <t>172.24.248.128</t>
  </si>
  <si>
    <t>172.24.248.129</t>
  </si>
  <si>
    <t>172.24.248.130</t>
  </si>
  <si>
    <t>172.24.248.131</t>
  </si>
  <si>
    <t>172.24.248.132</t>
  </si>
  <si>
    <t>172.24.248.133</t>
  </si>
  <si>
    <t>172.24.248.134</t>
  </si>
  <si>
    <t>172.24.248.135</t>
  </si>
  <si>
    <t>172.24.248.136</t>
  </si>
  <si>
    <t>172.24.248.137</t>
  </si>
  <si>
    <t>172.24.248.138</t>
  </si>
  <si>
    <t>172.24.248.139</t>
  </si>
  <si>
    <t>172.24.248.140</t>
  </si>
  <si>
    <t>172.24.248.141</t>
  </si>
  <si>
    <t>172.24.248.142</t>
  </si>
  <si>
    <t>172.24.248.143</t>
  </si>
  <si>
    <t>172.24.248.144</t>
  </si>
  <si>
    <t>172.24.248.145</t>
  </si>
  <si>
    <t>172.24.248.146</t>
  </si>
  <si>
    <t>172.24.248.147</t>
  </si>
  <si>
    <t>172.24.248.148</t>
  </si>
  <si>
    <t>172.24.248.149</t>
  </si>
  <si>
    <t>172.24.248.150</t>
  </si>
  <si>
    <t>172.24.248.151</t>
  </si>
  <si>
    <t>172.24.248.152</t>
  </si>
  <si>
    <t>172.24.248.153</t>
  </si>
  <si>
    <t>172.24.248.154</t>
  </si>
  <si>
    <t>172.24.248.155</t>
  </si>
  <si>
    <t>172.24.248.156</t>
  </si>
  <si>
    <t>172.24.248.157</t>
  </si>
  <si>
    <t>172.24.248.158</t>
  </si>
  <si>
    <t>172.24.248.159</t>
  </si>
  <si>
    <t>172.24.248.160</t>
  </si>
  <si>
    <t>172.24.248.161</t>
  </si>
  <si>
    <t>172.24.248.162</t>
  </si>
  <si>
    <t>172.24.248.163</t>
  </si>
  <si>
    <t>172.24.248.164</t>
  </si>
  <si>
    <t>172.24.248.165</t>
  </si>
  <si>
    <t>172.24.248.166</t>
  </si>
  <si>
    <t>172.24.248.167</t>
  </si>
  <si>
    <t>172.24.248.168</t>
  </si>
  <si>
    <t>172.24.248.169</t>
  </si>
  <si>
    <t>172.24.248.170</t>
  </si>
  <si>
    <t>172.24.248.171</t>
  </si>
  <si>
    <t>172.24.248.172</t>
  </si>
  <si>
    <t>172.24.248.173</t>
  </si>
  <si>
    <t>172.24.248.174</t>
  </si>
  <si>
    <t>172.24.248.175</t>
  </si>
  <si>
    <t>172.24.248.176</t>
  </si>
  <si>
    <t>172.24.248.177</t>
  </si>
  <si>
    <t>172.24.248.178</t>
  </si>
  <si>
    <t>172.24.248.179</t>
  </si>
  <si>
    <t>172.24.248.180</t>
  </si>
  <si>
    <t>172.24.248.181</t>
  </si>
  <si>
    <t>172.24.248.182</t>
  </si>
  <si>
    <t>172.24.248.183</t>
  </si>
  <si>
    <t>172.24.248.184</t>
  </si>
  <si>
    <t>172.24.248.185</t>
  </si>
  <si>
    <t>172.24.248.186</t>
  </si>
  <si>
    <t>172.24.248.187</t>
  </si>
  <si>
    <t>172.24.248.188</t>
  </si>
  <si>
    <t>172.24.248.189</t>
  </si>
  <si>
    <t>172.24.248.190</t>
  </si>
  <si>
    <t>172.24.248.191</t>
  </si>
  <si>
    <t>172.24.248.192</t>
  </si>
  <si>
    <t>172.24.248.193</t>
  </si>
  <si>
    <t>172.24.248.194</t>
  </si>
  <si>
    <t>172.24.248.195</t>
  </si>
  <si>
    <t>172.24.248.196</t>
  </si>
  <si>
    <t>172.24.248.197</t>
  </si>
  <si>
    <t>172.24.248.198</t>
  </si>
  <si>
    <t>172.24.248.199</t>
  </si>
  <si>
    <t>172.24.248.200</t>
  </si>
  <si>
    <t>172.24.248.201</t>
  </si>
  <si>
    <t>172.24.248.202</t>
  </si>
  <si>
    <t>172.24.248.203</t>
  </si>
  <si>
    <t>172.24.248.204</t>
  </si>
  <si>
    <t>172.24.248.205</t>
  </si>
  <si>
    <t>172.24.248.206</t>
  </si>
  <si>
    <t>172.24.248.207</t>
  </si>
  <si>
    <t>172.24.248.208</t>
  </si>
  <si>
    <t>172.24.248.209</t>
  </si>
  <si>
    <t>172.24.248.210</t>
  </si>
  <si>
    <t>172.24.248.211</t>
  </si>
  <si>
    <t>172.24.248.212</t>
  </si>
  <si>
    <t>172.24.248.213</t>
  </si>
  <si>
    <t>172.24.248.214</t>
  </si>
  <si>
    <t>172.24.248.215</t>
  </si>
  <si>
    <t>172.24.248.216</t>
  </si>
  <si>
    <t>172.24.248.217</t>
  </si>
  <si>
    <t>172.24.248.218</t>
  </si>
  <si>
    <t>172.24.250.224</t>
  </si>
  <si>
    <t>172.24.248.219</t>
  </si>
  <si>
    <t>172.24.248.220</t>
  </si>
  <si>
    <t>172.24.248.221</t>
  </si>
  <si>
    <t>172.24.248.222</t>
  </si>
  <si>
    <t>172.24.248.223</t>
  </si>
  <si>
    <t>172.24.248.224</t>
  </si>
  <si>
    <t>172.24.248.225</t>
  </si>
  <si>
    <t>172.24.248.226</t>
  </si>
  <si>
    <t>172.24.248.227</t>
  </si>
  <si>
    <t>172.24.248.228</t>
  </si>
  <si>
    <t>172.24.248.229</t>
  </si>
  <si>
    <t>172.24.248.230</t>
  </si>
  <si>
    <t>172.24.248.231</t>
  </si>
  <si>
    <t>172.24.248.232</t>
  </si>
  <si>
    <t>172.24.248.233</t>
  </si>
  <si>
    <t>172.24.248.234</t>
  </si>
  <si>
    <t>172.24.248.235</t>
  </si>
  <si>
    <t>172.24.248.236</t>
  </si>
  <si>
    <t>172.24.248.237</t>
  </si>
  <si>
    <t>172.24.248.238</t>
  </si>
  <si>
    <t>172.24.248.239</t>
  </si>
  <si>
    <t>172.24.248.240</t>
  </si>
  <si>
    <t>172.24.248.241</t>
  </si>
  <si>
    <t>172.24.248.242</t>
  </si>
  <si>
    <t>172.24.248.243</t>
  </si>
  <si>
    <t>172.24.248.244</t>
  </si>
  <si>
    <t>172.24.248.245</t>
  </si>
  <si>
    <t>172.24.248.246</t>
  </si>
  <si>
    <t>172.24.248.247</t>
  </si>
  <si>
    <t>172.24.248.248</t>
  </si>
  <si>
    <t>172.24.248.249</t>
  </si>
  <si>
    <t>172.24.248.250</t>
  </si>
  <si>
    <t>172.24.248.251</t>
  </si>
  <si>
    <t>172.24.248.252</t>
  </si>
  <si>
    <t>172.24.248.253</t>
  </si>
  <si>
    <t>172.24.248.254</t>
  </si>
  <si>
    <t>172.24.250.212</t>
  </si>
  <si>
    <t>172.24.250.213</t>
  </si>
  <si>
    <t>172.24.250.214</t>
  </si>
  <si>
    <t>172.24.250.215</t>
  </si>
  <si>
    <t>172.24.250.216</t>
  </si>
  <si>
    <t>172.24.250.217</t>
  </si>
  <si>
    <t>172.24.250.218</t>
  </si>
  <si>
    <t>172.24.250.219</t>
  </si>
  <si>
    <t>172.24.250.220</t>
  </si>
  <si>
    <t>172.24.250.221</t>
  </si>
  <si>
    <t>172.24.250.222</t>
  </si>
  <si>
    <t>172.24.250.223</t>
  </si>
  <si>
    <t>NO</t>
  </si>
  <si>
    <t>172.24.253.044</t>
  </si>
  <si>
    <t>172.24.253.046</t>
  </si>
  <si>
    <t>172.24.253.054</t>
  </si>
  <si>
    <t>172.24.253.055</t>
  </si>
  <si>
    <t>172.24.253.049</t>
  </si>
  <si>
    <t>172.24.253.050</t>
  </si>
  <si>
    <t>172.24.253.051</t>
  </si>
  <si>
    <t>172.24.253.052</t>
  </si>
  <si>
    <t>172.24.253.053</t>
  </si>
  <si>
    <t>172.24.253.048</t>
  </si>
  <si>
    <t>172.24.253.056</t>
  </si>
  <si>
    <t>172.24.253.068</t>
  </si>
  <si>
    <t>172.24.253.057</t>
  </si>
  <si>
    <t>172.24.253.058</t>
  </si>
  <si>
    <t>172.24.253.067</t>
  </si>
  <si>
    <t>172.24.253.066</t>
  </si>
  <si>
    <t>172.24.253.060</t>
  </si>
  <si>
    <t>172.24.253.061</t>
  </si>
  <si>
    <t>172.24.253.062</t>
  </si>
  <si>
    <t>172.24.253.063</t>
  </si>
  <si>
    <t>172.24.253.064</t>
  </si>
  <si>
    <t>172.24.253.065</t>
  </si>
  <si>
    <t>172.24.253.059</t>
  </si>
  <si>
    <t>172.24.253.069</t>
  </si>
  <si>
    <t>172.24.253.045</t>
  </si>
  <si>
    <t>172.24.253.070</t>
  </si>
  <si>
    <t>172.24.253.071</t>
  </si>
  <si>
    <t>172.24.253.084</t>
  </si>
  <si>
    <t>172.24.253.073</t>
  </si>
  <si>
    <t>172.24.253.072</t>
  </si>
  <si>
    <t>172.24.253.081</t>
  </si>
  <si>
    <t>172.24.253.074</t>
  </si>
  <si>
    <t>172.24.253.075</t>
  </si>
  <si>
    <t>172.24.253.076</t>
  </si>
  <si>
    <t>172.24.253.077</t>
  </si>
  <si>
    <t>172.24.253.078</t>
  </si>
  <si>
    <t>172.24.253.079</t>
  </si>
  <si>
    <t>172.24.253.080</t>
  </si>
  <si>
    <t>172.24.253.083</t>
  </si>
  <si>
    <t>172.24.253.082</t>
  </si>
  <si>
    <t>172.24.253.085</t>
  </si>
  <si>
    <t>172.24.253.086</t>
  </si>
  <si>
    <t>172.24.253.088</t>
  </si>
  <si>
    <t>172.24.253.096</t>
  </si>
  <si>
    <t>172.24.253.097</t>
  </si>
  <si>
    <t>172.24.253.091</t>
  </si>
  <si>
    <t>172.24.253.092</t>
  </si>
  <si>
    <t>172.24.253.093</t>
  </si>
  <si>
    <t>172.24.253.094</t>
  </si>
  <si>
    <t>172.24.253.095</t>
  </si>
  <si>
    <t>172.24.253.090</t>
  </si>
  <si>
    <t>172.24.253.098</t>
  </si>
  <si>
    <t>172.24.253.110</t>
  </si>
  <si>
    <t>172.24.253.099</t>
  </si>
  <si>
    <t>172.24.253.100</t>
  </si>
  <si>
    <t>172.24.253.109</t>
  </si>
  <si>
    <t>172.24.253.102</t>
  </si>
  <si>
    <t>172.24.253.103</t>
  </si>
  <si>
    <t>172.24.253.104</t>
  </si>
  <si>
    <t>172.24.253.105</t>
  </si>
  <si>
    <t>172.24.253.106</t>
  </si>
  <si>
    <t>172.24.253.107</t>
  </si>
  <si>
    <t>172.24.253.108</t>
  </si>
  <si>
    <t>172.24.253.101</t>
  </si>
  <si>
    <t>172.24.253.111</t>
  </si>
  <si>
    <t>172.24.253.087</t>
  </si>
  <si>
    <t>172.24.253.112</t>
  </si>
  <si>
    <t>172.24.253.113</t>
  </si>
  <si>
    <t>172.24.253.126</t>
  </si>
  <si>
    <t>172.24.253.115</t>
  </si>
  <si>
    <t>172.24.253.114</t>
  </si>
  <si>
    <t>172.24.253.123</t>
  </si>
  <si>
    <t>172.24.253.116</t>
  </si>
  <si>
    <t>172.24.253.117</t>
  </si>
  <si>
    <t>172.24.253.118</t>
  </si>
  <si>
    <t>172.24.253.119</t>
  </si>
  <si>
    <t>172.24.253.120</t>
  </si>
  <si>
    <t>172.24.253.121</t>
  </si>
  <si>
    <t>172.24.253.122</t>
  </si>
  <si>
    <t>172.24.253.125</t>
  </si>
  <si>
    <t>172.24.253.124</t>
  </si>
  <si>
    <t>172.24.253.127</t>
  </si>
  <si>
    <t>172.24.253.128</t>
  </si>
  <si>
    <t>172.24.253.130</t>
  </si>
  <si>
    <t>172.24.253.138</t>
  </si>
  <si>
    <t>172.24.253.139</t>
  </si>
  <si>
    <t>172.24.253.133</t>
  </si>
  <si>
    <t>172.24.253.134</t>
  </si>
  <si>
    <t>172.24.253.135</t>
  </si>
  <si>
    <t>172.24.253.136</t>
  </si>
  <si>
    <t>172.24.253.137</t>
  </si>
  <si>
    <t>172.24.253.132</t>
  </si>
  <si>
    <t>172.24.253.140</t>
  </si>
  <si>
    <t>172.24.253.152</t>
  </si>
  <si>
    <t>172.24.253.141</t>
  </si>
  <si>
    <t>172.24.253.142</t>
  </si>
  <si>
    <t>172.24.253.151</t>
  </si>
  <si>
    <t>172.24.253.150</t>
  </si>
  <si>
    <t>172.24.253.144</t>
  </si>
  <si>
    <t>172.24.253.145</t>
  </si>
  <si>
    <t>172.24.253.146</t>
  </si>
  <si>
    <t>172.24.253.147</t>
  </si>
  <si>
    <t>172.24.253.148</t>
  </si>
  <si>
    <t>172.24.253.149</t>
  </si>
  <si>
    <t>172.24.253.143</t>
  </si>
  <si>
    <t>172.24.253.153</t>
  </si>
  <si>
    <t>172.24.253.129</t>
  </si>
  <si>
    <t>172.24.253.154</t>
  </si>
  <si>
    <t>172.24.253.155</t>
  </si>
  <si>
    <t>172.24.253.168</t>
  </si>
  <si>
    <t>172.24.253.157</t>
  </si>
  <si>
    <t>172.24.253.156</t>
  </si>
  <si>
    <t>172.24.253.165</t>
  </si>
  <si>
    <t>172.24.253.158</t>
  </si>
  <si>
    <t>172.24.253.159</t>
  </si>
  <si>
    <t>172.24.253.160</t>
  </si>
  <si>
    <t>172.24.253.161</t>
  </si>
  <si>
    <t>172.24.253.162</t>
  </si>
  <si>
    <t>172.24.253.163</t>
  </si>
  <si>
    <t>172.24.253.164</t>
  </si>
  <si>
    <t>172.24.253.167</t>
  </si>
  <si>
    <t>172.24.253.166</t>
  </si>
  <si>
    <t>172.24.253.169</t>
  </si>
  <si>
    <t>172.24.253.170</t>
  </si>
  <si>
    <t>172.24.253.172</t>
  </si>
  <si>
    <t>172.24.253.180</t>
  </si>
  <si>
    <t>172.24.253.181</t>
  </si>
  <si>
    <t>172.24.253.175</t>
  </si>
  <si>
    <t>172.24.253.176</t>
  </si>
  <si>
    <t>172.24.253.177</t>
  </si>
  <si>
    <t>172.24.253.178</t>
  </si>
  <si>
    <t>172.24.253.179</t>
  </si>
  <si>
    <t>172.24.253.174</t>
  </si>
  <si>
    <t>172.24.253.182</t>
  </si>
  <si>
    <t>172.24.253.194</t>
  </si>
  <si>
    <t>172.24.253.183</t>
  </si>
  <si>
    <t>172.24.253.184</t>
  </si>
  <si>
    <t>172.24.253.193</t>
  </si>
  <si>
    <t>172.24.253.192</t>
  </si>
  <si>
    <t>172.24.253.186</t>
  </si>
  <si>
    <t>172.24.253.187</t>
  </si>
  <si>
    <t>172.24.253.188</t>
  </si>
  <si>
    <t>172.24.253.189</t>
  </si>
  <si>
    <t>172.24.253.190</t>
  </si>
  <si>
    <t>172.24.253.191</t>
  </si>
  <si>
    <t>172.24.253.185</t>
  </si>
  <si>
    <t>172.24.253.195</t>
  </si>
  <si>
    <t>172.24.253.171</t>
  </si>
  <si>
    <t>172.24.253.196</t>
  </si>
  <si>
    <t>172.24.253.197</t>
  </si>
  <si>
    <t>172.24.253.210</t>
  </si>
  <si>
    <t>172.24.253.199</t>
  </si>
  <si>
    <t>172.24.253.198</t>
  </si>
  <si>
    <t>172.24.253.207</t>
  </si>
  <si>
    <t>172.24.253.200</t>
  </si>
  <si>
    <t>172.24.253.201</t>
  </si>
  <si>
    <t>172.24.253.202</t>
  </si>
  <si>
    <t>172.24.253.203</t>
  </si>
  <si>
    <t>172.24.253.204</t>
  </si>
  <si>
    <t>172.24.253.205</t>
  </si>
  <si>
    <t>172.24.253.206</t>
  </si>
  <si>
    <t>172.24.253.209</t>
  </si>
  <si>
    <t>172.24.253.208</t>
  </si>
  <si>
    <t>172.24.253.211</t>
  </si>
  <si>
    <t>172.24.249.002</t>
  </si>
  <si>
    <t>172.24.249.003</t>
  </si>
  <si>
    <t>172.24.249.004</t>
  </si>
  <si>
    <t>172.24.249.005</t>
  </si>
  <si>
    <t>172.24.249.010</t>
  </si>
  <si>
    <t>172.24.249.009</t>
  </si>
  <si>
    <t>172.24.249.006</t>
  </si>
  <si>
    <t>172.24.249.007</t>
  </si>
  <si>
    <t>172.24.249.008</t>
  </si>
  <si>
    <t>172.24.249.023</t>
  </si>
  <si>
    <t>172.24.249.011</t>
  </si>
  <si>
    <t>172.24.249.012</t>
  </si>
  <si>
    <t>172.24.249.015</t>
  </si>
  <si>
    <t>172.24.249.016</t>
  </si>
  <si>
    <t>172.24.249.017</t>
  </si>
  <si>
    <t>172.24.249.018</t>
  </si>
  <si>
    <t>172.24.249.019</t>
  </si>
  <si>
    <t>172.24.249.020</t>
  </si>
  <si>
    <t>172.24.249.021</t>
  </si>
  <si>
    <t>172.24.249.022</t>
  </si>
  <si>
    <t>172.24.249.014</t>
  </si>
  <si>
    <t>172.24.249.013</t>
  </si>
  <si>
    <t>172.24.249.024</t>
  </si>
  <si>
    <t>172.24.249.025</t>
  </si>
  <si>
    <t>172.24.249.026</t>
  </si>
  <si>
    <t>172.24.249.027</t>
  </si>
  <si>
    <t>172.24.249.028</t>
  </si>
  <si>
    <t>172.24.249.029</t>
  </si>
  <si>
    <t>172.24.249.030</t>
  </si>
  <si>
    <t>172.24.249.035</t>
  </si>
  <si>
    <t>172.24.249.034</t>
  </si>
  <si>
    <t>172.24.249.031</t>
  </si>
  <si>
    <t>172.24.249.032</t>
  </si>
  <si>
    <t>172.24.249.033</t>
  </si>
  <si>
    <t>172.24.249.048</t>
  </si>
  <si>
    <t>172.24.249.036</t>
  </si>
  <si>
    <t>172.24.249.037</t>
  </si>
  <si>
    <t>172.24.249.040</t>
  </si>
  <si>
    <t>172.24.249.041</t>
  </si>
  <si>
    <t>172.24.249.042</t>
  </si>
  <si>
    <t>172.24.249.043</t>
  </si>
  <si>
    <t>172.24.249.044</t>
  </si>
  <si>
    <t>172.24.249.045</t>
  </si>
  <si>
    <t>172.24.249.046</t>
  </si>
  <si>
    <t>172.24.249.047</t>
  </si>
  <si>
    <t>172.24.249.039</t>
  </si>
  <si>
    <t>172.24.249.038</t>
  </si>
  <si>
    <t>172.24.249.049</t>
  </si>
  <si>
    <t>172.24.249.050</t>
  </si>
  <si>
    <t>172.24.249.051</t>
  </si>
  <si>
    <t>172.24.249.052</t>
  </si>
  <si>
    <t>172.24.249.053</t>
  </si>
  <si>
    <t>172.24.249.054</t>
  </si>
  <si>
    <t>172.24.249.055</t>
  </si>
  <si>
    <t>172.24.249.060</t>
  </si>
  <si>
    <t>172.24.249.059</t>
  </si>
  <si>
    <t>172.24.249.056</t>
  </si>
  <si>
    <t>172.24.249.057</t>
  </si>
  <si>
    <t>172.24.249.058</t>
  </si>
  <si>
    <t>172.24.249.073</t>
  </si>
  <si>
    <t>172.24.249.061</t>
  </si>
  <si>
    <t>172.24.249.062</t>
  </si>
  <si>
    <t>172.24.249.065</t>
  </si>
  <si>
    <t>172.24.249.066</t>
  </si>
  <si>
    <t>172.24.249.067</t>
  </si>
  <si>
    <t>172.24.249.068</t>
  </si>
  <si>
    <t>172.24.249.069</t>
  </si>
  <si>
    <t>172.24.249.070</t>
  </si>
  <si>
    <t>172.24.249.071</t>
  </si>
  <si>
    <t>172.24.249.072</t>
  </si>
  <si>
    <t>172.24.249.064</t>
  </si>
  <si>
    <t>172.24.249.063</t>
  </si>
  <si>
    <t>172.24.249.074</t>
  </si>
  <si>
    <t>172.24.249.075</t>
  </si>
  <si>
    <t>172.24.249.076</t>
  </si>
  <si>
    <t>172.24.249.077</t>
  </si>
  <si>
    <t>172.24.249.078</t>
  </si>
  <si>
    <t>172.24.249.079</t>
  </si>
  <si>
    <t>172.24.249.080</t>
  </si>
  <si>
    <t>172.24.249.085</t>
  </si>
  <si>
    <t>172.24.249.084</t>
  </si>
  <si>
    <t>172.24.249.081</t>
  </si>
  <si>
    <t>172.24.249.082</t>
  </si>
  <si>
    <t>172.24.249.083</t>
  </si>
  <si>
    <t>172.24.249.098</t>
  </si>
  <si>
    <t>172.24.249.086</t>
  </si>
  <si>
    <t>172.24.249.087</t>
  </si>
  <si>
    <t>172.24.249.090</t>
  </si>
  <si>
    <t>172.24.249.091</t>
  </si>
  <si>
    <t>172.24.249.092</t>
  </si>
  <si>
    <t>172.24.249.093</t>
  </si>
  <si>
    <t>172.24.249.094</t>
  </si>
  <si>
    <t>172.24.249.095</t>
  </si>
  <si>
    <t>172.24.249.096</t>
  </si>
  <si>
    <t>172.24.249.097</t>
  </si>
  <si>
    <t>172.24.249.089</t>
  </si>
  <si>
    <t>172.24.249.088</t>
  </si>
  <si>
    <t>172.24.249.099</t>
  </si>
  <si>
    <t>172.24.249.100</t>
  </si>
  <si>
    <t>172.24.249.101</t>
  </si>
  <si>
    <t>172.24.249.231</t>
  </si>
  <si>
    <t>172.24.249.232</t>
  </si>
  <si>
    <t>172.24.249.233</t>
  </si>
  <si>
    <t>172.24.249.234</t>
  </si>
  <si>
    <t>172.24.249.235</t>
  </si>
  <si>
    <t>172.24.249.236</t>
  </si>
  <si>
    <t>172.24.249.238</t>
  </si>
  <si>
    <t>172.24.249.237</t>
  </si>
  <si>
    <t>172.24.249.239</t>
  </si>
  <si>
    <t>172.24.249.240</t>
  </si>
  <si>
    <t>172.24.249.241</t>
  </si>
  <si>
    <t>172.24.249.242</t>
  </si>
  <si>
    <t>172.24.249.243</t>
  </si>
  <si>
    <t>172.24.249.244</t>
  </si>
  <si>
    <t>172.24.249.245</t>
  </si>
  <si>
    <t>172.24.249.246</t>
  </si>
  <si>
    <t>172.24.249.247</t>
  </si>
  <si>
    <t>172.24.249.249</t>
  </si>
  <si>
    <t>172.24.249.252</t>
  </si>
  <si>
    <t>172.24.249.251</t>
  </si>
  <si>
    <t>172.24.249.248</t>
  </si>
  <si>
    <t>172.24.249.250</t>
  </si>
  <si>
    <t>172.24.249.253</t>
  </si>
  <si>
    <t>172.24.249.102</t>
  </si>
  <si>
    <t>172.24.249.103</t>
  </si>
  <si>
    <t>172.24.249.104</t>
  </si>
  <si>
    <t>172.24.249.105</t>
  </si>
  <si>
    <t>172.24.249.110</t>
  </si>
  <si>
    <t>172.24.249.109</t>
  </si>
  <si>
    <t>172.24.249.106</t>
  </si>
  <si>
    <t>172.24.249.107</t>
  </si>
  <si>
    <t>172.24.249.108</t>
  </si>
  <si>
    <t>172.24.249.123</t>
  </si>
  <si>
    <t>172.24.249.111</t>
  </si>
  <si>
    <t>172.24.249.112</t>
  </si>
  <si>
    <t>172.24.249.115</t>
  </si>
  <si>
    <t>172.24.249.116</t>
  </si>
  <si>
    <t>172.24.249.117</t>
  </si>
  <si>
    <t>172.24.249.118</t>
  </si>
  <si>
    <t>172.24.249.119</t>
  </si>
  <si>
    <t>172.24.249.120</t>
  </si>
  <si>
    <t>172.24.249.121</t>
  </si>
  <si>
    <t>172.24.249.122</t>
  </si>
  <si>
    <t>172.24.249.114</t>
  </si>
  <si>
    <t>172.24.249.113</t>
  </si>
  <si>
    <t>172.24.249.124</t>
  </si>
  <si>
    <t>172.24.249.125</t>
  </si>
  <si>
    <t>172.24.249.126</t>
  </si>
  <si>
    <t>172.24.249.127</t>
  </si>
  <si>
    <t>172.24.249.128</t>
  </si>
  <si>
    <t>172.24.249.129</t>
  </si>
  <si>
    <t>172.24.249.130</t>
  </si>
  <si>
    <t>172.24.249.135</t>
  </si>
  <si>
    <t>172.24.249.134</t>
  </si>
  <si>
    <t>172.24.249.131</t>
  </si>
  <si>
    <t>172.24.249.132</t>
  </si>
  <si>
    <t>172.24.249.133</t>
  </si>
  <si>
    <t>172.24.249.148</t>
  </si>
  <si>
    <t>172.24.249.136</t>
  </si>
  <si>
    <t>172.24.249.137</t>
  </si>
  <si>
    <t>172.24.249.140</t>
  </si>
  <si>
    <t>172.24.249.141</t>
  </si>
  <si>
    <t>172.24.249.142</t>
  </si>
  <si>
    <t>172.24.249.143</t>
  </si>
  <si>
    <t>172.24.249.144</t>
  </si>
  <si>
    <t>172.24.249.145</t>
  </si>
  <si>
    <t>172.24.249.146</t>
  </si>
  <si>
    <t>172.24.249.147</t>
  </si>
  <si>
    <t>172.24.249.139</t>
  </si>
  <si>
    <t>172.24.249.138</t>
  </si>
  <si>
    <t>172.24.249.149</t>
  </si>
  <si>
    <t>172.24.249.150</t>
  </si>
  <si>
    <t>172.24.249.151</t>
  </si>
  <si>
    <t>172.24.249.152</t>
  </si>
  <si>
    <t>172.24.249.153</t>
  </si>
  <si>
    <t>172.24.249.154</t>
  </si>
  <si>
    <t>172.24.249.155</t>
  </si>
  <si>
    <t>172.24.249.160</t>
  </si>
  <si>
    <t>172.24.249.159</t>
  </si>
  <si>
    <t>172.24.249.156</t>
  </si>
  <si>
    <t>172.24.249.157</t>
  </si>
  <si>
    <t>172.24.249.158</t>
  </si>
  <si>
    <t>172.24.249.173</t>
  </si>
  <si>
    <t>172.24.249.161</t>
  </si>
  <si>
    <t>172.24.249.162</t>
  </si>
  <si>
    <t>172.24.249.165</t>
  </si>
  <si>
    <t>172.24.249.166</t>
  </si>
  <si>
    <t>172.24.249.167</t>
  </si>
  <si>
    <t>172.24.249.168</t>
  </si>
  <si>
    <t>172.24.249.169</t>
  </si>
  <si>
    <t>172.24.249.170</t>
  </si>
  <si>
    <t>172.24.249.171</t>
  </si>
  <si>
    <t>172.24.249.172</t>
  </si>
  <si>
    <t>172.24.249.164</t>
  </si>
  <si>
    <t>172.24.249.163</t>
  </si>
  <si>
    <t>172.24.249.174</t>
  </si>
  <si>
    <t>172.24.249.175</t>
  </si>
  <si>
    <t>172.24.249.176</t>
  </si>
  <si>
    <t>172.24.249.177</t>
  </si>
  <si>
    <t>172.24.249.178</t>
  </si>
  <si>
    <t>172.24.249.179</t>
  </si>
  <si>
    <t>172.24.249.180</t>
  </si>
  <si>
    <t>172.24.249.185</t>
  </si>
  <si>
    <t>172.24.249.184</t>
  </si>
  <si>
    <t>172.24.249.181</t>
  </si>
  <si>
    <t>172.24.249.182</t>
  </si>
  <si>
    <t>172.24.249.183</t>
  </si>
  <si>
    <t>172.24.249.198</t>
  </si>
  <si>
    <t>172.24.249.186</t>
  </si>
  <si>
    <t>172.24.249.187</t>
  </si>
  <si>
    <t>172.24.249.190</t>
  </si>
  <si>
    <t>172.24.249.191</t>
  </si>
  <si>
    <t>172.24.249.192</t>
  </si>
  <si>
    <t>172.24.249.193</t>
  </si>
  <si>
    <t>172.24.249.194</t>
  </si>
  <si>
    <t>172.24.249.195</t>
  </si>
  <si>
    <t>172.24.249.196</t>
  </si>
  <si>
    <t>172.24.249.197</t>
  </si>
  <si>
    <t>172.24.249.189</t>
  </si>
  <si>
    <t>172.24.249.188</t>
  </si>
  <si>
    <t>172.24.249.199</t>
  </si>
  <si>
    <t>172.24.249.200</t>
  </si>
  <si>
    <t>172.24.249.201</t>
  </si>
  <si>
    <t>172.24.250.002</t>
  </si>
  <si>
    <t>172.24.250.003</t>
  </si>
  <si>
    <t>172.24.250.004</t>
  </si>
  <si>
    <t>172.24.250.005</t>
  </si>
  <si>
    <t>172.24.250.012</t>
  </si>
  <si>
    <t>172.24.250.013</t>
  </si>
  <si>
    <t>172.24.250.007</t>
  </si>
  <si>
    <t>172.24.250.008</t>
  </si>
  <si>
    <t>172.24.250.009</t>
  </si>
  <si>
    <t>172.24.250.010</t>
  </si>
  <si>
    <t>172.24.250.011</t>
  </si>
  <si>
    <t>172.24.250.006</t>
  </si>
  <si>
    <t>172.24.250.026</t>
  </si>
  <si>
    <t>172.24.250.015</t>
  </si>
  <si>
    <t>172.24.250.016</t>
  </si>
  <si>
    <t>172.24.250.025</t>
  </si>
  <si>
    <t>172.24.250.014</t>
  </si>
  <si>
    <t>172.24.250.018</t>
  </si>
  <si>
    <t>172.24.250.019</t>
  </si>
  <si>
    <t>172.24.250.020</t>
  </si>
  <si>
    <t>172.24.250.021</t>
  </si>
  <si>
    <t>172.24.250.022</t>
  </si>
  <si>
    <t>172.24.250.023</t>
  </si>
  <si>
    <t>172.24.250.017</t>
  </si>
  <si>
    <t>172.24.250.024</t>
  </si>
  <si>
    <t>172.24.250.027</t>
  </si>
  <si>
    <t>172.24.250.028</t>
  </si>
  <si>
    <t>172.24.250.029</t>
  </si>
  <si>
    <t>172.24.250.042</t>
  </si>
  <si>
    <t>172.24.250.031</t>
  </si>
  <si>
    <t>172.24.250.030</t>
  </si>
  <si>
    <t>172.24.250.039</t>
  </si>
  <si>
    <t>172.24.250.032</t>
  </si>
  <si>
    <t>172.24.250.033</t>
  </si>
  <si>
    <t>172.24.250.034</t>
  </si>
  <si>
    <t>172.24.250.035</t>
  </si>
  <si>
    <t>172.24.250.036</t>
  </si>
  <si>
    <t>172.24.250.037</t>
  </si>
  <si>
    <t>172.24.250.038</t>
  </si>
  <si>
    <t>172.24.250.041</t>
  </si>
  <si>
    <t>172.24.250.040</t>
  </si>
  <si>
    <t>172.24.250.043</t>
  </si>
  <si>
    <t>172.24.250.044</t>
  </si>
  <si>
    <t>172.24.250.045</t>
  </si>
  <si>
    <t>172.24.250.046</t>
  </si>
  <si>
    <t>172.24.250.047</t>
  </si>
  <si>
    <t>172.24.250.054</t>
  </si>
  <si>
    <t>172.24.250.055</t>
  </si>
  <si>
    <t>172.24.250.049</t>
  </si>
  <si>
    <t>172.24.250.050</t>
  </si>
  <si>
    <t>172.24.250.051</t>
  </si>
  <si>
    <t>172.24.250.052</t>
  </si>
  <si>
    <t>172.24.250.053</t>
  </si>
  <si>
    <t>172.24.250.048</t>
  </si>
  <si>
    <t>172.24.250.056</t>
  </si>
  <si>
    <t>172.24.250.068</t>
  </si>
  <si>
    <t>172.24.250.057</t>
  </si>
  <si>
    <t>172.24.250.058</t>
  </si>
  <si>
    <t>172.24.250.067</t>
  </si>
  <si>
    <t>172.24.250.066</t>
  </si>
  <si>
    <t>172.24.250.060</t>
  </si>
  <si>
    <t>172.24.250.061</t>
  </si>
  <si>
    <t>172.24.250.062</t>
  </si>
  <si>
    <t>172.24.250.063</t>
  </si>
  <si>
    <t>172.24.250.064</t>
  </si>
  <si>
    <t>172.24.250.065</t>
  </si>
  <si>
    <t>172.24.250.059</t>
  </si>
  <si>
    <t>172.24.250.069</t>
  </si>
  <si>
    <t>172.24.250.070</t>
  </si>
  <si>
    <t>172.24.250.071</t>
  </si>
  <si>
    <t>172.24.250.084</t>
  </si>
  <si>
    <t>172.24.250.073</t>
  </si>
  <si>
    <t>172.24.250.072</t>
  </si>
  <si>
    <t>172.24.250.081</t>
  </si>
  <si>
    <t>172.24.250.074</t>
  </si>
  <si>
    <t>172.24.250.075</t>
  </si>
  <si>
    <t>172.24.250.076</t>
  </si>
  <si>
    <t>172.24.250.077</t>
  </si>
  <si>
    <t>172.24.250.078</t>
  </si>
  <si>
    <t>172.24.250.079</t>
  </si>
  <si>
    <t>172.24.250.080</t>
  </si>
  <si>
    <t>172.24.250.083</t>
  </si>
  <si>
    <t>172.24.250.082</t>
  </si>
  <si>
    <t>172.24.250.085</t>
  </si>
  <si>
    <t>172.24.250.086</t>
  </si>
  <si>
    <t>172.24.250.087</t>
  </si>
  <si>
    <t>172.24.250.088</t>
  </si>
  <si>
    <t>172.24.250.089</t>
  </si>
  <si>
    <t>172.24.250.096</t>
  </si>
  <si>
    <t>172.24.250.097</t>
  </si>
  <si>
    <t>172.24.250.091</t>
  </si>
  <si>
    <t>172.24.250.092</t>
  </si>
  <si>
    <t>172.24.250.093</t>
  </si>
  <si>
    <t>172.24.250.094</t>
  </si>
  <si>
    <t>172.24.250.095</t>
  </si>
  <si>
    <t>172.24.250.090</t>
  </si>
  <si>
    <t>172.24.250.108</t>
  </si>
  <si>
    <t>172.24.250.110</t>
  </si>
  <si>
    <t>172.24.250.099</t>
  </si>
  <si>
    <t>172.24.250.100</t>
  </si>
  <si>
    <t>172.24.250.109</t>
  </si>
  <si>
    <t>172.24.250.098</t>
  </si>
  <si>
    <t>172.24.250.102</t>
  </si>
  <si>
    <t>172.24.250.103</t>
  </si>
  <si>
    <t>172.24.250.104</t>
  </si>
  <si>
    <t>172.24.250.105</t>
  </si>
  <si>
    <t>172.24.250.106</t>
  </si>
  <si>
    <t>172.24.250.107</t>
  </si>
  <si>
    <t>172.24.250.101</t>
  </si>
  <si>
    <t>172.24.250.111</t>
  </si>
  <si>
    <t>172.24.250.112</t>
  </si>
  <si>
    <t>172.24.250.113</t>
  </si>
  <si>
    <t>172.24.250.126</t>
  </si>
  <si>
    <t>172.24.250.115</t>
  </si>
  <si>
    <t>172.24.250.114</t>
  </si>
  <si>
    <t>172.24.250.123</t>
  </si>
  <si>
    <t>172.24.250.116</t>
  </si>
  <si>
    <t>172.24.250.117</t>
  </si>
  <si>
    <t>172.24.250.118</t>
  </si>
  <si>
    <t>172.24.250.119</t>
  </si>
  <si>
    <t>172.24.250.120</t>
  </si>
  <si>
    <t>172.24.250.121</t>
  </si>
  <si>
    <t>172.24.250.122</t>
  </si>
  <si>
    <t>172.24.250.125</t>
  </si>
  <si>
    <t>172.24.250.124</t>
  </si>
  <si>
    <t>172.24.250.127</t>
  </si>
  <si>
    <t>172.24.250.128</t>
  </si>
  <si>
    <t>172.24.250.129</t>
  </si>
  <si>
    <t>172.24.250.130</t>
  </si>
  <si>
    <t>172.24.250.131</t>
  </si>
  <si>
    <t>172.24.250.138</t>
  </si>
  <si>
    <t>172.24.250.139</t>
  </si>
  <si>
    <t>172.24.250.133</t>
  </si>
  <si>
    <t>172.24.250.134</t>
  </si>
  <si>
    <t>172.24.250.135</t>
  </si>
  <si>
    <t>172.24.250.136</t>
  </si>
  <si>
    <t>172.24.250.137</t>
  </si>
  <si>
    <t>172.24.250.132</t>
  </si>
  <si>
    <t>172.24.250.140</t>
  </si>
  <si>
    <t>172.24.250.152</t>
  </si>
  <si>
    <t>172.24.250.141</t>
  </si>
  <si>
    <t>172.24.250.142</t>
  </si>
  <si>
    <t>172.24.250.151</t>
  </si>
  <si>
    <t>172.24.250.150</t>
  </si>
  <si>
    <t>172.24.250.144</t>
  </si>
  <si>
    <t>172.24.250.145</t>
  </si>
  <si>
    <t>172.24.250.146</t>
  </si>
  <si>
    <t>172.24.250.147</t>
  </si>
  <si>
    <t>172.24.250.148</t>
  </si>
  <si>
    <t>172.24.250.149</t>
  </si>
  <si>
    <t>172.24.250.143</t>
  </si>
  <si>
    <t>172.24.250.153</t>
  </si>
  <si>
    <t>172.24.250.154</t>
  </si>
  <si>
    <t>172.24.250.155</t>
  </si>
  <si>
    <t>172.24.250.168</t>
  </si>
  <si>
    <t>172.24.250.157</t>
  </si>
  <si>
    <t>172.24.250.156</t>
  </si>
  <si>
    <t>172.24.250.165</t>
  </si>
  <si>
    <t>172.24.250.158</t>
  </si>
  <si>
    <t>172.24.250.159</t>
  </si>
  <si>
    <t>172.24.250.160</t>
  </si>
  <si>
    <t>172.24.250.161</t>
  </si>
  <si>
    <t>172.24.250.162</t>
  </si>
  <si>
    <t>172.24.250.163</t>
  </si>
  <si>
    <t>172.24.250.164</t>
  </si>
  <si>
    <t>172.24.250.167</t>
  </si>
  <si>
    <t>172.24.250.166</t>
  </si>
  <si>
    <t>172.24.250.169</t>
  </si>
  <si>
    <t>172.24.250.170</t>
  </si>
  <si>
    <t>172.24.250.171</t>
  </si>
  <si>
    <t>172.24.250.172</t>
  </si>
  <si>
    <t>172.24.250.173</t>
  </si>
  <si>
    <t>172.24.250.180</t>
  </si>
  <si>
    <t>172.24.250.181</t>
  </si>
  <si>
    <t>172.24.250.175</t>
  </si>
  <si>
    <t>172.24.250.176</t>
  </si>
  <si>
    <t>172.24.250.177</t>
  </si>
  <si>
    <t>172.24.250.178</t>
  </si>
  <si>
    <t>172.24.250.179</t>
  </si>
  <si>
    <t>172.24.250.174</t>
  </si>
  <si>
    <t>172.24.250.182</t>
  </si>
  <si>
    <t>172.24.250.194</t>
  </si>
  <si>
    <t>172.24.250.183</t>
  </si>
  <si>
    <t>172.24.250.184</t>
  </si>
  <si>
    <t>172.24.250.193</t>
  </si>
  <si>
    <t>172.24.250.192</t>
  </si>
  <si>
    <t>172.24.250.186</t>
  </si>
  <si>
    <t>172.24.250.187</t>
  </si>
  <si>
    <t>172.24.250.188</t>
  </si>
  <si>
    <t>172.24.250.189</t>
  </si>
  <si>
    <t>172.24.250.190</t>
  </si>
  <si>
    <t>172.24.250.191</t>
  </si>
  <si>
    <t>172.24.250.185</t>
  </si>
  <si>
    <t>172.24.250.195</t>
  </si>
  <si>
    <t>172.24.250.196</t>
  </si>
  <si>
    <t>172.24.250.197</t>
  </si>
  <si>
    <t>172.24.250.210</t>
  </si>
  <si>
    <t>172.24.250.199</t>
  </si>
  <si>
    <t>172.24.250.198</t>
  </si>
  <si>
    <t>172.24.250.207</t>
  </si>
  <si>
    <t>172.24.250.200</t>
  </si>
  <si>
    <t>172.24.250.201</t>
  </si>
  <si>
    <t>172.24.250.202</t>
  </si>
  <si>
    <t>172.24.250.203</t>
  </si>
  <si>
    <t>172.24.250.204</t>
  </si>
  <si>
    <t>172.24.250.205</t>
  </si>
  <si>
    <t>172.24.250.206</t>
  </si>
  <si>
    <t>172.24.250.209</t>
  </si>
  <si>
    <t>172.24.250.208</t>
  </si>
  <si>
    <t>172.24.250.211</t>
  </si>
  <si>
    <t>172.24.249.205</t>
  </si>
  <si>
    <t>172.24.249.208</t>
  </si>
  <si>
    <t>172.24.249.209</t>
  </si>
  <si>
    <t>172.24.249.210</t>
  </si>
  <si>
    <t>172.24.249.207</t>
  </si>
  <si>
    <t>172.24.249.213</t>
  </si>
  <si>
    <t>172.24.249.216</t>
  </si>
  <si>
    <t>172.24.249.217</t>
  </si>
  <si>
    <t>172.24.249.218</t>
  </si>
  <si>
    <t>172.24.249.215</t>
  </si>
  <si>
    <t>172.24.251.205</t>
  </si>
  <si>
    <t>172.24.251.206</t>
  </si>
  <si>
    <t>172.24.251.208</t>
  </si>
  <si>
    <t>172.24.251.209</t>
  </si>
  <si>
    <t>172.24.251.210</t>
  </si>
  <si>
    <t>172.24.251.211</t>
  </si>
  <si>
    <t>172.24.251.212</t>
  </si>
  <si>
    <t>172.24.251.207</t>
  </si>
  <si>
    <t>172.24.251.213</t>
  </si>
  <si>
    <t>172.24.251.214</t>
  </si>
  <si>
    <t>172.24.251.216</t>
  </si>
  <si>
    <t>172.24.251.217</t>
  </si>
  <si>
    <t>172.24.251.218</t>
  </si>
  <si>
    <t>172.24.251.219</t>
  </si>
  <si>
    <t>172.24.251.220</t>
  </si>
  <si>
    <t>172.24.251.215</t>
  </si>
  <si>
    <t>172.24.251.221</t>
  </si>
  <si>
    <t>172.24.251.223</t>
  </si>
  <si>
    <t>172.24.251.224</t>
  </si>
  <si>
    <t>172.24.251.225</t>
  </si>
  <si>
    <t>172.24.251.226</t>
  </si>
  <si>
    <t>172.24.251.227</t>
  </si>
  <si>
    <t>172.24.251.228</t>
  </si>
  <si>
    <t>172.24.251.222</t>
  </si>
  <si>
    <t>172.24.251.229</t>
  </si>
  <si>
    <t>172.24.251.231</t>
  </si>
  <si>
    <t>172.24.251.232</t>
  </si>
  <si>
    <t>172.24.251.233</t>
  </si>
  <si>
    <t>172.24.251.234</t>
  </si>
  <si>
    <t>172.24.251.235</t>
  </si>
  <si>
    <t>172.24.251.230</t>
  </si>
  <si>
    <t>172.24.251.236</t>
  </si>
  <si>
    <t>172.24.251.238</t>
  </si>
  <si>
    <t>172.24.251.239</t>
  </si>
  <si>
    <t>172.24.251.240</t>
  </si>
  <si>
    <t>172.24.251.241</t>
  </si>
  <si>
    <t>172.24.251.242</t>
  </si>
  <si>
    <t>172.24.251.237</t>
  </si>
  <si>
    <t>172.24.251.243</t>
  </si>
  <si>
    <t>172.24.251.245</t>
  </si>
  <si>
    <t>172.24.251.246</t>
  </si>
  <si>
    <t>172.24.251.247</t>
  </si>
  <si>
    <t>172.24.251.248</t>
  </si>
  <si>
    <t>172.24.251.249</t>
  </si>
  <si>
    <t>172.24.251.244</t>
  </si>
  <si>
    <t>172.24.251.002</t>
  </si>
  <si>
    <t>172.24.251.004</t>
  </si>
  <si>
    <t>172.24.251.009</t>
  </si>
  <si>
    <t>172.24.251.010</t>
  </si>
  <si>
    <t>172.24.251.006</t>
  </si>
  <si>
    <t>172.24.251.007</t>
  </si>
  <si>
    <t>172.24.251.008</t>
  </si>
  <si>
    <t>172.24.251.023</t>
  </si>
  <si>
    <t>172.24.251.011</t>
  </si>
  <si>
    <t>172.24.251.012</t>
  </si>
  <si>
    <t>172.24.251.015</t>
  </si>
  <si>
    <t>172.24.251.016</t>
  </si>
  <si>
    <t>172.24.251.017</t>
  </si>
  <si>
    <t>172.24.251.018</t>
  </si>
  <si>
    <t>172.24.251.019</t>
  </si>
  <si>
    <t>172.24.251.020</t>
  </si>
  <si>
    <t>172.24.251.021</t>
  </si>
  <si>
    <t>172.24.251.022</t>
  </si>
  <si>
    <t>172.24.251.013</t>
  </si>
  <si>
    <t>172.24.251.014</t>
  </si>
  <si>
    <t>172.24.251.024</t>
  </si>
  <si>
    <t>172.24.251.003</t>
  </si>
  <si>
    <t>172.24.251.025</t>
  </si>
  <si>
    <t>172.24.251.026</t>
  </si>
  <si>
    <t>172.24.251.027</t>
  </si>
  <si>
    <t>172.24.251.029</t>
  </si>
  <si>
    <t>172.24.251.034</t>
  </si>
  <si>
    <t>172.24.251.035</t>
  </si>
  <si>
    <t>172.24.251.031</t>
  </si>
  <si>
    <t>172.24.251.032</t>
  </si>
  <si>
    <t>172.24.251.033</t>
  </si>
  <si>
    <t>172.24.251.048</t>
  </si>
  <si>
    <t>172.24.251.036</t>
  </si>
  <si>
    <t>172.24.251.037</t>
  </si>
  <si>
    <t>172.24.251.040</t>
  </si>
  <si>
    <t>172.24.251.041</t>
  </si>
  <si>
    <t>172.24.251.042</t>
  </si>
  <si>
    <t>172.24.251.043</t>
  </si>
  <si>
    <t>172.24.251.044</t>
  </si>
  <si>
    <t>172.24.251.045</t>
  </si>
  <si>
    <t>172.24.251.046</t>
  </si>
  <si>
    <t>172.24.251.047</t>
  </si>
  <si>
    <t>172.24.251.038</t>
  </si>
  <si>
    <t>172.24.251.039</t>
  </si>
  <si>
    <t>172.24.251.049</t>
  </si>
  <si>
    <t>172.24.251.028</t>
  </si>
  <si>
    <t>172.24.251.050</t>
  </si>
  <si>
    <t>172.24.251.051</t>
  </si>
  <si>
    <t>172.24.251.052</t>
  </si>
  <si>
    <t>172.24.251.054</t>
  </si>
  <si>
    <t>172.24.251.059</t>
  </si>
  <si>
    <t>172.24.251.060</t>
  </si>
  <si>
    <t>172.24.251.056</t>
  </si>
  <si>
    <t>172.24.251.057</t>
  </si>
  <si>
    <t>172.24.251.058</t>
  </si>
  <si>
    <t>172.24.251.073</t>
  </si>
  <si>
    <t>172.24.251.061</t>
  </si>
  <si>
    <t>172.24.251.062</t>
  </si>
  <si>
    <t>172.24.251.065</t>
  </si>
  <si>
    <t>172.24.251.066</t>
  </si>
  <si>
    <t>172.24.251.067</t>
  </si>
  <si>
    <t>172.24.251.068</t>
  </si>
  <si>
    <t>172.24.251.069</t>
  </si>
  <si>
    <t>172.24.251.070</t>
  </si>
  <si>
    <t>172.24.251.071</t>
  </si>
  <si>
    <t>172.24.251.072</t>
  </si>
  <si>
    <t>172.24.251.063</t>
  </si>
  <si>
    <t>172.24.251.064</t>
  </si>
  <si>
    <t>172.24.251.074</t>
  </si>
  <si>
    <t>172.24.251.053</t>
  </si>
  <si>
    <t>172.24.251.075</t>
  </si>
  <si>
    <t>172.24.251.076</t>
  </si>
  <si>
    <t>172.24.251.077</t>
  </si>
  <si>
    <t>172.24.251.079</t>
  </si>
  <si>
    <t>172.24.251.084</t>
  </si>
  <si>
    <t>172.24.251.085</t>
  </si>
  <si>
    <t>172.24.251.081</t>
  </si>
  <si>
    <t>172.24.251.082</t>
  </si>
  <si>
    <t>172.24.251.083</t>
  </si>
  <si>
    <t>172.24.251.098</t>
  </si>
  <si>
    <t>172.24.251.086</t>
  </si>
  <si>
    <t>172.24.251.087</t>
  </si>
  <si>
    <t>172.24.251.090</t>
  </si>
  <si>
    <t>172.24.251.091</t>
  </si>
  <si>
    <t>172.24.251.092</t>
  </si>
  <si>
    <t>172.24.251.093</t>
  </si>
  <si>
    <t>172.24.251.094</t>
  </si>
  <si>
    <t>172.24.251.095</t>
  </si>
  <si>
    <t>172.24.251.096</t>
  </si>
  <si>
    <t>172.24.251.097</t>
  </si>
  <si>
    <t>172.24.251.088</t>
  </si>
  <si>
    <t>172.24.251.089</t>
  </si>
  <si>
    <t>172.24.251.099</t>
  </si>
  <si>
    <t>172.24.251.078</t>
  </si>
  <si>
    <t>172.24.251.100</t>
  </si>
  <si>
    <t>172.24.251.101</t>
  </si>
  <si>
    <t>172.24.251.102</t>
  </si>
  <si>
    <t>172.24.251.104</t>
  </si>
  <si>
    <t>172.24.251.109</t>
  </si>
  <si>
    <t>172.24.251.110</t>
  </si>
  <si>
    <t>172.24.251.106</t>
  </si>
  <si>
    <t>172.24.251.107</t>
  </si>
  <si>
    <t>172.24.251.108</t>
  </si>
  <si>
    <t>172.24.251.123</t>
  </si>
  <si>
    <t>172.24.251.111</t>
  </si>
  <si>
    <t>172.24.251.112</t>
  </si>
  <si>
    <t>172.24.251.115</t>
  </si>
  <si>
    <t>172.24.251.116</t>
  </si>
  <si>
    <t>172.24.251.117</t>
  </si>
  <si>
    <t>172.24.251.118</t>
  </si>
  <si>
    <t>172.24.251.119</t>
  </si>
  <si>
    <t>172.24.251.120</t>
  </si>
  <si>
    <t>172.24.251.121</t>
  </si>
  <si>
    <t>172.24.251.122</t>
  </si>
  <si>
    <t>172.24.251.113</t>
  </si>
  <si>
    <t>172.24.251.114</t>
  </si>
  <si>
    <t>172.24.251.124</t>
  </si>
  <si>
    <t>172.24.251.103</t>
  </si>
  <si>
    <t>172.24.251.125</t>
  </si>
  <si>
    <t>172.24.251.126</t>
  </si>
  <si>
    <t>172.24.251.127</t>
  </si>
  <si>
    <t>172.24.251.129</t>
  </si>
  <si>
    <t>172.24.251.134</t>
  </si>
  <si>
    <t>172.24.251.135</t>
  </si>
  <si>
    <t>172.24.251.131</t>
  </si>
  <si>
    <t>172.24.251.132</t>
  </si>
  <si>
    <t>172.24.251.133</t>
  </si>
  <si>
    <t>172.24.251.148</t>
  </si>
  <si>
    <t>172.24.251.136</t>
  </si>
  <si>
    <t>172.24.251.137</t>
  </si>
  <si>
    <t>172.24.251.140</t>
  </si>
  <si>
    <t>172.24.251.141</t>
  </si>
  <si>
    <t>172.24.251.142</t>
  </si>
  <si>
    <t>172.24.251.143</t>
  </si>
  <si>
    <t>172.24.251.144</t>
  </si>
  <si>
    <t>172.24.251.145</t>
  </si>
  <si>
    <t>172.24.251.146</t>
  </si>
  <si>
    <t>172.24.251.147</t>
  </si>
  <si>
    <t>172.24.251.138</t>
  </si>
  <si>
    <t>172.24.251.139</t>
  </si>
  <si>
    <t>172.24.251.149</t>
  </si>
  <si>
    <t>172.24.251.128</t>
  </si>
  <si>
    <t>172.24.251.150</t>
  </si>
  <si>
    <t>172.24.251.151</t>
  </si>
  <si>
    <t>172.24.251.152</t>
  </si>
  <si>
    <t>172.24.251.154</t>
  </si>
  <si>
    <t>172.24.251.159</t>
  </si>
  <si>
    <t>172.24.251.160</t>
  </si>
  <si>
    <t>172.24.251.156</t>
  </si>
  <si>
    <t>172.24.251.157</t>
  </si>
  <si>
    <t>172.24.251.158</t>
  </si>
  <si>
    <t>172.24.251.173</t>
  </si>
  <si>
    <t>172.24.251.161</t>
  </si>
  <si>
    <t>172.24.251.162</t>
  </si>
  <si>
    <t>172.24.251.165</t>
  </si>
  <si>
    <t>172.24.251.166</t>
  </si>
  <si>
    <t>172.24.251.167</t>
  </si>
  <si>
    <t>172.24.251.168</t>
  </si>
  <si>
    <t>172.24.251.169</t>
  </si>
  <si>
    <t>172.24.251.170</t>
  </si>
  <si>
    <t>172.24.251.171</t>
  </si>
  <si>
    <t>172.24.251.172</t>
  </si>
  <si>
    <t>172.24.251.163</t>
  </si>
  <si>
    <t>172.24.251.164</t>
  </si>
  <si>
    <t>172.24.251.174</t>
  </si>
  <si>
    <t>172.24.251.153</t>
  </si>
  <si>
    <t>172.24.251.175</t>
  </si>
  <si>
    <t>172.24.251.176</t>
  </si>
  <si>
    <t>172.24.251.177</t>
  </si>
  <si>
    <t>172.24.251.179</t>
  </si>
  <si>
    <t>172.24.251.184</t>
  </si>
  <si>
    <t>172.24.251.185</t>
  </si>
  <si>
    <t>172.24.251.181</t>
  </si>
  <si>
    <t>172.24.251.182</t>
  </si>
  <si>
    <t>172.24.251.183</t>
  </si>
  <si>
    <t>172.24.251.198</t>
  </si>
  <si>
    <t>172.24.251.186</t>
  </si>
  <si>
    <t>172.24.251.187</t>
  </si>
  <si>
    <t>172.24.251.190</t>
  </si>
  <si>
    <t>172.24.251.191</t>
  </si>
  <si>
    <t>172.24.251.192</t>
  </si>
  <si>
    <t>172.24.251.193</t>
  </si>
  <si>
    <t>172.24.251.194</t>
  </si>
  <si>
    <t>172.24.251.195</t>
  </si>
  <si>
    <t>172.24.251.196</t>
  </si>
  <si>
    <t>172.24.251.197</t>
  </si>
  <si>
    <t>172.24.251.188</t>
  </si>
  <si>
    <t>172.24.251.189</t>
  </si>
  <si>
    <t>172.24.251.199</t>
  </si>
  <si>
    <t>172.24.251.178</t>
  </si>
  <si>
    <t>172.24.251.200</t>
  </si>
  <si>
    <t>172.24.251.201</t>
  </si>
  <si>
    <t>172.24.252.002</t>
  </si>
  <si>
    <t>172.24.252.004</t>
  </si>
  <si>
    <t>172.24.252.009</t>
  </si>
  <si>
    <t>172.24.252.010</t>
  </si>
  <si>
    <t>172.24.252.006</t>
  </si>
  <si>
    <t>172.24.252.007</t>
  </si>
  <si>
    <t>172.24.252.008</t>
  </si>
  <si>
    <t>172.24.252.023</t>
  </si>
  <si>
    <t>172.24.252.011</t>
  </si>
  <si>
    <t>172.24.252.012</t>
  </si>
  <si>
    <t>172.24.252.015</t>
  </si>
  <si>
    <t>172.24.252.016</t>
  </si>
  <si>
    <t>172.24.252.017</t>
  </si>
  <si>
    <t>172.24.252.018</t>
  </si>
  <si>
    <t>172.24.252.019</t>
  </si>
  <si>
    <t>172.24.252.020</t>
  </si>
  <si>
    <t>172.24.252.021</t>
  </si>
  <si>
    <t>172.24.252.022</t>
  </si>
  <si>
    <t>172.24.252.013</t>
  </si>
  <si>
    <t>172.24.252.014</t>
  </si>
  <si>
    <t>172.24.252.024</t>
  </si>
  <si>
    <t>172.24.252.003</t>
  </si>
  <si>
    <t>172.24.252.025</t>
  </si>
  <si>
    <t>172.24.252.026</t>
  </si>
  <si>
    <t>172.24.252.027</t>
  </si>
  <si>
    <t>172.24.252.029</t>
  </si>
  <si>
    <t>172.24.252.034</t>
  </si>
  <si>
    <t>172.24.252.035</t>
  </si>
  <si>
    <t>172.24.252.031</t>
  </si>
  <si>
    <t>172.24.252.032</t>
  </si>
  <si>
    <t>172.24.252.033</t>
  </si>
  <si>
    <t>172.24.252.048</t>
  </si>
  <si>
    <t>172.24.252.036</t>
  </si>
  <si>
    <t>172.24.252.037</t>
  </si>
  <si>
    <t>172.24.252.040</t>
  </si>
  <si>
    <t>172.24.252.041</t>
  </si>
  <si>
    <t>172.24.252.042</t>
  </si>
  <si>
    <t>172.24.252.043</t>
  </si>
  <si>
    <t>172.24.252.044</t>
  </si>
  <si>
    <t>172.24.252.045</t>
  </si>
  <si>
    <t>172.24.252.046</t>
  </si>
  <si>
    <t>172.24.252.047</t>
  </si>
  <si>
    <t>172.24.252.038</t>
  </si>
  <si>
    <t>172.24.252.039</t>
  </si>
  <si>
    <t>172.24.252.049</t>
  </si>
  <si>
    <t>172.24.252.028</t>
  </si>
  <si>
    <t>172.24.252.050</t>
  </si>
  <si>
    <t>172.24.252.051</t>
  </si>
  <si>
    <t>172.24.252.052</t>
  </si>
  <si>
    <t>172.24.252.054</t>
  </si>
  <si>
    <t>172.24.252.059</t>
  </si>
  <si>
    <t>172.24.252.060</t>
  </si>
  <si>
    <t>172.24.252.056</t>
  </si>
  <si>
    <t>172.24.252.057</t>
  </si>
  <si>
    <t>172.24.252.058</t>
  </si>
  <si>
    <t>172.24.252.073</t>
  </si>
  <si>
    <t>172.24.252.061</t>
  </si>
  <si>
    <t>172.24.252.062</t>
  </si>
  <si>
    <t>172.24.252.065</t>
  </si>
  <si>
    <t>172.24.252.066</t>
  </si>
  <si>
    <t>172.24.252.067</t>
  </si>
  <si>
    <t>172.24.252.068</t>
  </si>
  <si>
    <t>172.24.252.069</t>
  </si>
  <si>
    <t>172.24.252.070</t>
  </si>
  <si>
    <t>172.24.252.071</t>
  </si>
  <si>
    <t>172.24.252.072</t>
  </si>
  <si>
    <t>172.24.252.063</t>
  </si>
  <si>
    <t>172.24.252.064</t>
  </si>
  <si>
    <t>172.24.252.074</t>
  </si>
  <si>
    <t>172.24.252.053</t>
  </si>
  <si>
    <t>172.24.252.075</t>
  </si>
  <si>
    <t>172.24.252.076</t>
  </si>
  <si>
    <t>172.24.252.077</t>
  </si>
  <si>
    <t>172.24.252.079</t>
  </si>
  <si>
    <t>172.24.252.084</t>
  </si>
  <si>
    <t>172.24.252.085</t>
  </si>
  <si>
    <t>172.24.252.081</t>
  </si>
  <si>
    <t>172.24.252.082</t>
  </si>
  <si>
    <t>172.24.252.083</t>
  </si>
  <si>
    <t>172.24.252.098</t>
  </si>
  <si>
    <t>172.24.252.086</t>
  </si>
  <si>
    <t>172.24.252.087</t>
  </si>
  <si>
    <t>172.24.252.090</t>
  </si>
  <si>
    <t>172.24.252.091</t>
  </si>
  <si>
    <t>172.24.252.092</t>
  </si>
  <si>
    <t>172.24.252.093</t>
  </si>
  <si>
    <t>172.24.252.094</t>
  </si>
  <si>
    <t>172.24.252.095</t>
  </si>
  <si>
    <t>172.24.252.096</t>
  </si>
  <si>
    <t>172.24.252.097</t>
  </si>
  <si>
    <t>172.24.252.088</t>
  </si>
  <si>
    <t>172.24.252.089</t>
  </si>
  <si>
    <t>172.24.252.099</t>
  </si>
  <si>
    <t>172.24.252.078</t>
  </si>
  <si>
    <t>172.24.252.100</t>
  </si>
  <si>
    <t>172.24.252.101</t>
  </si>
  <si>
    <t>172.24.252.102</t>
  </si>
  <si>
    <t>172.24.252.103</t>
  </si>
  <si>
    <t>172.24.252.104</t>
  </si>
  <si>
    <t>172.24.252.105</t>
  </si>
  <si>
    <t>172.24.252.106</t>
  </si>
  <si>
    <t>172.24.252.107</t>
  </si>
  <si>
    <t>172.24.252.108</t>
  </si>
  <si>
    <t>172.24.252.109</t>
  </si>
  <si>
    <t>172.24.252.110</t>
  </si>
  <si>
    <t>172.24.252.111</t>
  </si>
  <si>
    <t>172.24.252.112</t>
  </si>
  <si>
    <t>172.24.252.113</t>
  </si>
  <si>
    <t>172.24.252.114</t>
  </si>
  <si>
    <t>172.24.252.115</t>
  </si>
  <si>
    <t>172.24.252.116</t>
  </si>
  <si>
    <t>172.24.252.117</t>
  </si>
  <si>
    <t>172.24.252.118</t>
  </si>
  <si>
    <t>172.24.252.119</t>
  </si>
  <si>
    <t>172.24.252.120</t>
  </si>
  <si>
    <t>172.24.252.121</t>
  </si>
  <si>
    <t>172.24.252.122</t>
  </si>
  <si>
    <t>172.24.252.123</t>
  </si>
  <si>
    <t>172.24.252.124</t>
  </si>
  <si>
    <t>172.24.252.125</t>
  </si>
  <si>
    <t>172.24.252.126</t>
  </si>
  <si>
    <t>172.24.252.127</t>
  </si>
  <si>
    <t>172.24.252.128</t>
  </si>
  <si>
    <t>172.24.252.129</t>
  </si>
  <si>
    <t>172.24.252.130</t>
  </si>
  <si>
    <t>172.24.252.131</t>
  </si>
  <si>
    <t>172.24.252.132</t>
  </si>
  <si>
    <t>172.24.252.133</t>
  </si>
  <si>
    <t>172.24.252.134</t>
  </si>
  <si>
    <t>172.24.252.135</t>
  </si>
  <si>
    <t>172.24.252.136</t>
  </si>
  <si>
    <t>172.24.252.137</t>
  </si>
  <si>
    <t>172.24.252.138</t>
  </si>
  <si>
    <t>172.24.252.139</t>
  </si>
  <si>
    <t>172.24.252.140</t>
  </si>
  <si>
    <t>172.24.252.141</t>
  </si>
  <si>
    <t>172.24.252.142</t>
  </si>
  <si>
    <t>172.24.252.143</t>
  </si>
  <si>
    <t>172.24.252.144</t>
  </si>
  <si>
    <t>172.24.252.145</t>
  </si>
  <si>
    <t>172.24.252.146</t>
  </si>
  <si>
    <t>172.24.252.147</t>
  </si>
  <si>
    <t>172.24.252.148</t>
  </si>
  <si>
    <t>172.24.252.149</t>
  </si>
  <si>
    <t>172.24.252.150</t>
  </si>
  <si>
    <t>172.24.252.151</t>
  </si>
  <si>
    <t>172.24.252.152</t>
  </si>
  <si>
    <t>172.24.252.153</t>
  </si>
  <si>
    <t>172.24.252.154</t>
  </si>
  <si>
    <t>Ignition Gateway Device Name</t>
  </si>
  <si>
    <t>SW6A</t>
  </si>
  <si>
    <t>GEAR</t>
  </si>
  <si>
    <t>TYPE</t>
  </si>
  <si>
    <t>DESIGNATINO</t>
  </si>
  <si>
    <t>UP6A</t>
  </si>
  <si>
    <t>BKR</t>
  </si>
  <si>
    <t>PQM</t>
  </si>
  <si>
    <t>ODP-6A</t>
  </si>
  <si>
    <t>SPARE-01</t>
  </si>
  <si>
    <t>SPARE-02</t>
  </si>
  <si>
    <t>SW6B</t>
  </si>
  <si>
    <t>UP6B</t>
  </si>
  <si>
    <t>MCB-02</t>
  </si>
  <si>
    <t>ODP-6B</t>
  </si>
  <si>
    <t>SW6C</t>
  </si>
  <si>
    <t>UP6C</t>
  </si>
  <si>
    <t>XMFR-6C</t>
  </si>
  <si>
    <t>ODP-6C</t>
  </si>
  <si>
    <t>SW6D</t>
  </si>
  <si>
    <t>UP6D</t>
  </si>
  <si>
    <t>ODP-6D</t>
  </si>
  <si>
    <t>SW6E</t>
  </si>
  <si>
    <t>UP6E</t>
  </si>
  <si>
    <t>ODP-6E</t>
  </si>
  <si>
    <t>HBT Device Name</t>
  </si>
  <si>
    <t>Type</t>
  </si>
  <si>
    <t>Unit</t>
  </si>
  <si>
    <t>UPS</t>
  </si>
  <si>
    <t>A</t>
  </si>
  <si>
    <t>B</t>
  </si>
  <si>
    <t>C</t>
  </si>
  <si>
    <t>D</t>
  </si>
  <si>
    <t>MUPS</t>
  </si>
  <si>
    <t>E</t>
  </si>
  <si>
    <t>H1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</si>
  <si>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</si>
  <si>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</si>
  <si>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</si>
  <si>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</si>
  <si>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</si>
  <si>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</si>
  <si>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</si>
  <si>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</si>
  <si>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</si>
  <si>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</si>
  <si>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</si>
  <si>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</si>
  <si>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</si>
  <si>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</si>
  <si>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</si>
  <si>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</si>
  <si>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</si>
  <si>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</si>
  <si>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</si>
  <si>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</si>
  <si>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</si>
  <si>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</si>
  <si>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</si>
  <si>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</si>
  <si>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6E</t>
  </si>
  <si>
    <t>7A</t>
  </si>
  <si>
    <t>7B</t>
  </si>
  <si>
    <t>7C</t>
  </si>
  <si>
    <t>7D</t>
  </si>
  <si>
    <t>7E</t>
  </si>
  <si>
    <t>BUS</t>
  </si>
  <si>
    <t>Column1</t>
  </si>
  <si>
    <t>BUS-7E-5</t>
  </si>
  <si>
    <t>BUS-7E-6</t>
  </si>
  <si>
    <t>BW-7E-5</t>
  </si>
  <si>
    <t>BW-7E-6</t>
  </si>
  <si>
    <t>BW-6D-6</t>
  </si>
  <si>
    <t>BW-6C-6</t>
  </si>
  <si>
    <t>BW-1B-1</t>
  </si>
  <si>
    <t>BW-1-1</t>
  </si>
  <si>
    <t>Starline</t>
  </si>
  <si>
    <t>ModBus TCP/IP</t>
  </si>
  <si>
    <t>ID</t>
  </si>
  <si>
    <t>MANUFAC</t>
  </si>
  <si>
    <t>PROTOCOL</t>
  </si>
  <si>
    <t>PHASE</t>
  </si>
  <si>
    <t>IP</t>
  </si>
  <si>
    <t>SN</t>
  </si>
  <si>
    <t>DG</t>
  </si>
  <si>
    <t>BW-1C-1</t>
  </si>
  <si>
    <t>BW-1B-2</t>
  </si>
  <si>
    <t>BW-1C-2</t>
  </si>
  <si>
    <t>BW-1B-3</t>
  </si>
  <si>
    <t>BW-1C-3</t>
  </si>
  <si>
    <t>BW-1B-4</t>
  </si>
  <si>
    <t>BW-1C-4</t>
  </si>
  <si>
    <t>BW-1B-5</t>
  </si>
  <si>
    <t>BW-1C-5</t>
  </si>
  <si>
    <t>BW-1B-6</t>
  </si>
  <si>
    <t>BW-1C-6</t>
  </si>
  <si>
    <t>BW-1B-7</t>
  </si>
  <si>
    <t>BW-1C-7</t>
  </si>
  <si>
    <t>BW-1B-8</t>
  </si>
  <si>
    <t>BW-1C-8</t>
  </si>
  <si>
    <t>BW-4A-1</t>
  </si>
  <si>
    <t>BW-4A-3</t>
  </si>
  <si>
    <t>BW-4A-4</t>
  </si>
  <si>
    <t>BW-4A-5</t>
  </si>
  <si>
    <t>BW-4A-6</t>
  </si>
  <si>
    <t>BW-4A-7</t>
  </si>
  <si>
    <t>BW-4A-8</t>
  </si>
  <si>
    <t>BW-4A-2</t>
  </si>
  <si>
    <t>BW-4B-1</t>
  </si>
  <si>
    <t>BW-4B-2</t>
  </si>
  <si>
    <t>BW-4B-8</t>
  </si>
  <si>
    <t>BW-4B-3</t>
  </si>
  <si>
    <t>BW-4B-4</t>
  </si>
  <si>
    <t>BW-4B-5</t>
  </si>
  <si>
    <t>BW-4B-6</t>
  </si>
  <si>
    <t>BW-4B-7</t>
  </si>
  <si>
    <t>BW-4C-1</t>
  </si>
  <si>
    <t>BW-4C-2</t>
  </si>
  <si>
    <t>BW-4C-3</t>
  </si>
  <si>
    <t>BW-4C-4</t>
  </si>
  <si>
    <t>BW-4C-5</t>
  </si>
  <si>
    <t>BW-4C-6</t>
  </si>
  <si>
    <t>BW-4C-7</t>
  </si>
  <si>
    <t>BW-4C-8</t>
  </si>
  <si>
    <t>BW-4D-8</t>
  </si>
  <si>
    <t>BW-4D-7</t>
  </si>
  <si>
    <t>BW-4D-6</t>
  </si>
  <si>
    <t>BW-4D-5</t>
  </si>
  <si>
    <t>BW-4D-4</t>
  </si>
  <si>
    <t>BW-4D-3</t>
  </si>
  <si>
    <t>BW-4D-2</t>
  </si>
  <si>
    <t>BW-4D-1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</si>
</sst>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808A6-217A-414A-B6C5-A06F224BD664}" name="Table1" displayName="Table1" ref="A1:H1029" totalsRowShown="0">
  <autoFilter ref="A1:H1029" xr:uid="{F9E808A6-217A-414A-B6C5-A06F224BD664}"/>
  <tableColumns count="8">
    <tableColumn id="1" xr3:uid="{60DB388F-DEEF-4B2E-8506-760404FD0200}" name="JDC - System Name"/>
    <tableColumn id="2" xr3:uid="{7FCDB66D-06DE-429F-B59F-69718B625863}" name="JDC - Breaker Name"/>
    <tableColumn id="3" xr3:uid="{3AEF6670-938B-4C7A-8AA3-CB5B6F307BC0}" name="JDC - SWBD Device Name"/>
    <tableColumn id="4" xr3:uid="{DBA63041-4B16-47CD-8157-7D81187978B2}" name="HBT Device Tag"/>
    <tableColumn id="5" xr3:uid="{CE6FE475-13AD-40D3-B1FD-5C88AAB83589}" name="HBT Device Description"/>
    <tableColumn id="6" xr3:uid="{256CC076-02DE-4FB3-9AFA-9C4157AD2C2D}" name="IP Address"/>
    <tableColumn id="7" xr3:uid="{A5BA57B9-935C-4426-80C5-E3036B803EBD}" name="Subnet"/>
    <tableColumn id="8" xr3:uid="{EBCA0BFC-27CA-4D24-BB04-DC22FE72E2B9}" name="Gatewa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3EABFF-8E6F-4441-B2B3-2A465985A267}" name="Table8" displayName="Table8" ref="A1:E62" totalsRowShown="0">
  <autoFilter ref="A1:E62" xr:uid="{F33EABFF-8E6F-4441-B2B3-2A465985A267}"/>
  <sortState xmlns:xlrd2="http://schemas.microsoft.com/office/spreadsheetml/2017/richdata2" ref="A2:E62">
    <sortCondition ref="C1:C62"/>
  </sortState>
  <tableColumns count="5">
    <tableColumn id="1" xr3:uid="{47174157-5058-4E29-91FC-91AB2299EA43}" name="Unit"/>
    <tableColumn id="2" xr3:uid="{445A2884-F8FA-4024-A9B7-476DC883093E}" name="Type"/>
    <tableColumn id="3" xr3:uid="{5D66FDD6-F88B-4B2A-8EA8-6FBF334CFE78}" name="IP Address"/>
    <tableColumn id="4" xr3:uid="{21B5CC85-24AC-4E84-A9A4-770822ED3551}" name="Subnet"/>
    <tableColumn id="5" xr3:uid="{5F0083A1-3316-4D25-A7DD-A6807DE526A0}" name="Gatewa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01CDDC-B324-4898-A5B7-31685E69E300}" name="Table7" displayName="Table7" ref="A1:D220" totalsRowShown="0">
  <autoFilter ref="A1:D220" xr:uid="{B601CDDC-B324-4898-A5B7-31685E69E300}"/>
  <sortState xmlns:xlrd2="http://schemas.microsoft.com/office/spreadsheetml/2017/richdata2" ref="A2:D218">
    <sortCondition ref="D1:D218"/>
  </sortState>
  <tableColumns count="4">
    <tableColumn id="1" xr3:uid="{A6619002-6AF8-423E-B734-74487391D1A3}" name="HBT Device Name"/>
    <tableColumn id="2" xr3:uid="{6183E58F-D952-468D-AEC4-C297997A4F2B}" name="Type"/>
    <tableColumn id="3" xr3:uid="{D783282E-A28E-4CCB-8C6B-36A322FAC85A}" name="IP Address"/>
    <tableColumn id="4" xr3:uid="{9CA14962-A7FD-4D75-BED0-4AF1AD6D54B0}" name="Ignition Gateway Device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1EABCF-A44C-4EBD-98B6-4FF5EF6C1400}" name="Table9" displayName="Table9" ref="A246:I466" totalsRowShown="0">
  <autoFilter ref="A246:I466" xr:uid="{601EABCF-A44C-4EBD-98B6-4FF5EF6C1400}"/>
  <sortState xmlns:xlrd2="http://schemas.microsoft.com/office/spreadsheetml/2017/richdata2" ref="A247:H466">
    <sortCondition ref="A246:A466"/>
  </sortState>
  <tableColumns count="9">
    <tableColumn id="1" xr3:uid="{DF8BBFCC-45BB-4A0F-B514-F9CAC481372B}" name="ID"/>
    <tableColumn id="2" xr3:uid="{84F953A0-07B3-46F9-B499-829AC8E734A2}" name="TYPE"/>
    <tableColumn id="3" xr3:uid="{BB0246ED-B044-4058-BECC-5FEC1972DAE4}" name="MANUFAC"/>
    <tableColumn id="4" xr3:uid="{AE87C4E2-FC19-4B0A-A5A8-8F5C13ADBC4A}" name="PROTOCOL"/>
    <tableColumn id="5" xr3:uid="{1578F637-2A9E-4CD3-85D4-DA14751849FE}" name="PHASE"/>
    <tableColumn id="6" xr3:uid="{DDEFA8C7-29F2-4768-A011-DE3B7D16D743}" name="IP"/>
    <tableColumn id="7" xr3:uid="{934D25D6-712F-4584-814B-8C8536BF143D}" name="SN"/>
    <tableColumn id="8" xr3:uid="{1BD8E77B-798D-40F7-8F57-BF93FF6A998E}" name="DG"/>
    <tableColumn id="9" xr3:uid="{763AA93E-90D3-49FE-8B33-72B03683E811}" name="Column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241902-309C-4FD9-ACD1-33D114ECA0ED}" name="Table2" displayName="Table2" ref="A1:L40" totalsRowShown="0">
  <autoFilter ref="A1:L40" xr:uid="{E8241902-309C-4FD9-ACD1-33D114ECA0ED}">
    <filterColumn colId="9">
      <filters>
        <filter val="BKR"/>
      </filters>
    </filterColumn>
  </autoFilter>
  <tableColumns count="12">
    <tableColumn id="1" xr3:uid="{BC59346F-5E07-4312-A37A-2D61DAF6F5D4}" name="JDC - System Name"/>
    <tableColumn id="2" xr3:uid="{0F4E11EF-465C-4BF5-B938-4B168A36FF0D}" name="JDC - Breaker Name"/>
    <tableColumn id="3" xr3:uid="{F0351D14-469A-4159-A194-E1C32546B10F}" name="JDC - SWBD Device Name"/>
    <tableColumn id="4" xr3:uid="{54D2F2CC-FBD8-4E7F-9326-66CB686739D5}" name="HBT Device Tag"/>
    <tableColumn id="5" xr3:uid="{9A315EBF-CCDD-4E71-AC13-A1FD3802F594}" name="HBT Device Description"/>
    <tableColumn id="6" xr3:uid="{D49B59AE-9018-4574-99FE-71457C0F17B8}" name="IP Address"/>
    <tableColumn id="7" xr3:uid="{86A9D752-643E-4275-96F1-C85037747795}" name="Subnet"/>
    <tableColumn id="8" xr3:uid="{E67C895B-83DA-4ADB-A1A2-FADC62D326C4}" name="Gateway"/>
    <tableColumn id="10" xr3:uid="{A9DB919B-D70B-4EE0-92F6-DC8F43AEB52A}" name="GEAR"/>
    <tableColumn id="11" xr3:uid="{AA0D6648-9079-4524-8655-60EDE41D206F}" name="TYPE"/>
    <tableColumn id="12" xr3:uid="{245010AE-7198-4D7C-A91B-C066E53F9362}" name="DESIGNATINO"/>
    <tableColumn id="13" xr3:uid="{3A42846D-2D6B-4946-864F-5328B78D9EDA}" name="Ignition Gateway Device Name" dataDxfId="11">
      <calculatedColumnFormula>_xlfn.TEXTJOIN("_",TRUE,Table2[[#This Row],[GEAR]:[DESIGNATINO]])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FCF586-8D7E-4622-B30F-E44C9E5A6EF3}" name="Table3" displayName="Table3" ref="A1:L40" totalsRowShown="0">
  <autoFilter ref="A1:L40" xr:uid="{D1FCF586-8D7E-4622-B30F-E44C9E5A6EF3}">
    <filterColumn colId="9">
      <filters>
        <filter val="BKR"/>
      </filters>
    </filterColumn>
  </autoFilter>
  <tableColumns count="12">
    <tableColumn id="1" xr3:uid="{ED40723A-D4D0-4720-8721-345C53914C79}" name="JDC - System Name"/>
    <tableColumn id="2" xr3:uid="{48731415-89DC-4654-8488-983CA28C89D9}" name="JDC - Breaker Name"/>
    <tableColumn id="3" xr3:uid="{C7C429AF-F6F1-44AD-A8BC-5A23FD8BA808}" name="JDC - SWBD Device Name"/>
    <tableColumn id="4" xr3:uid="{CB038654-0330-4C08-8830-91BBA7067EF6}" name="HBT Device Tag"/>
    <tableColumn id="5" xr3:uid="{8C236E09-EB20-4AA6-8601-BAFB4332C841}" name="HBT Device Description"/>
    <tableColumn id="6" xr3:uid="{331A4836-4487-46F5-B05F-28D8F4463DDE}" name="IP Address"/>
    <tableColumn id="7" xr3:uid="{ADD87FD8-33F3-42D0-B461-437A787C07E9}" name="Subnet"/>
    <tableColumn id="8" xr3:uid="{8FDE8B43-D8F2-4061-9E62-A716ED993804}" name="Gateway"/>
    <tableColumn id="9" xr3:uid="{4F9A19F2-3D26-435B-B04F-FBD565BC6088}" name="GEAR"/>
    <tableColumn id="10" xr3:uid="{740B0689-07B0-498B-B2D1-484E8CFD76E3}" name="TYPE"/>
    <tableColumn id="11" xr3:uid="{4BC50747-744A-45B0-A6C4-ED620086C81C}" name="DESIGNATINO"/>
    <tableColumn id="12" xr3:uid="{38F67865-9F3C-47B4-8A00-D8747BB3204E}" name="Ignition Gateway Device Name">
      <calculatedColumnFormula>_xlfn.TEXTJOIN("_", TRUE, I2:K2)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30ED18-B2BA-413E-B45B-BF859DF2E105}" name="Table4" displayName="Table4" ref="A1:L40" totalsRowShown="0">
  <autoFilter ref="A1:L40" xr:uid="{A830ED18-B2BA-413E-B45B-BF859DF2E105}">
    <filterColumn colId="9">
      <filters>
        <filter val="BKR"/>
      </filters>
    </filterColumn>
  </autoFilter>
  <tableColumns count="12">
    <tableColumn id="1" xr3:uid="{6305742D-BA5C-46A5-A991-A8E766CC863E}" name="JDC - System Name"/>
    <tableColumn id="2" xr3:uid="{3489D633-0AD6-4EF0-8469-A9D538E266E5}" name="JDC - Breaker Name"/>
    <tableColumn id="3" xr3:uid="{C9175ECD-692E-4256-A4E9-6CE1F61B88E4}" name="JDC - SWBD Device Name"/>
    <tableColumn id="4" xr3:uid="{B7F79EC2-3723-45E7-98C4-A7EF449C22ED}" name="HBT Device Tag"/>
    <tableColumn id="5" xr3:uid="{93BE6C7A-807A-42D2-9976-2C8FAE3A631E}" name="HBT Device Description"/>
    <tableColumn id="6" xr3:uid="{B475C629-1A2D-4413-9669-6AE15FE0CE04}" name="IP Address"/>
    <tableColumn id="7" xr3:uid="{71C66EA6-7CB8-4581-9FF0-DCDE2B42D34A}" name="Subnet"/>
    <tableColumn id="8" xr3:uid="{5AA6D86B-B901-4D4D-A7E3-0547B4C4F593}" name="Gateway"/>
    <tableColumn id="9" xr3:uid="{B3EBCA6A-7D7F-4967-948F-BDDB3C63D629}" name="GEAR"/>
    <tableColumn id="10" xr3:uid="{41866ACE-EC76-4A3D-A563-304A3AA08DAF}" name="TYPE"/>
    <tableColumn id="11" xr3:uid="{EF602A86-016A-438E-B992-0C78B57C1CFE}" name="DESIGNATINO"/>
    <tableColumn id="12" xr3:uid="{A82B7D47-2392-4014-B445-3EF29D4E71E7}" name="Ignition Gateway Device Name" dataDxfId="10">
      <calculatedColumnFormula>_xlfn.TEXTJOIN("_", TRUE, Table4[[#This Row],[GEAR]:[DESIGNATINO]])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9387F4-33FC-4AE0-9E6C-E2C1F8956A4A}" name="Table5" displayName="Table5" ref="A1:L40" totalsRowShown="0">
  <autoFilter ref="A1:L40" xr:uid="{979387F4-33FC-4AE0-9E6C-E2C1F8956A4A}">
    <filterColumn colId="9">
      <filters>
        <filter val="BKR"/>
      </filters>
    </filterColumn>
  </autoFilter>
  <tableColumns count="12">
    <tableColumn id="1" xr3:uid="{53D89DA0-5321-4EC3-A865-D6B8DC4AE64B}" name="JDC - System Name"/>
    <tableColumn id="2" xr3:uid="{D6FE1A98-1028-4F85-8214-A1454CA0660C}" name="JDC - Breaker Name"/>
    <tableColumn id="3" xr3:uid="{A0805C52-6D68-43F3-A460-907304678424}" name="JDC - SWBD Device Name"/>
    <tableColumn id="4" xr3:uid="{8C8039F1-EBC3-4CA1-A47D-E291AE5D924E}" name="HBT Device Tag"/>
    <tableColumn id="5" xr3:uid="{0FB9D54B-5660-4EBF-B285-5A3A4BAE83B8}" name="HBT Device Description"/>
    <tableColumn id="6" xr3:uid="{C0B9B25C-6A98-4744-8053-D1440C14B898}" name="IP Address"/>
    <tableColumn id="7" xr3:uid="{3E553C95-70DE-4769-8312-5FF9A28E7276}" name="Subnet"/>
    <tableColumn id="8" xr3:uid="{0D3D22F4-4B75-4D0C-B733-4305CAD333D9}" name="Gateway"/>
    <tableColumn id="9" xr3:uid="{0EC04130-CA87-49B2-8ACB-9B4848DD23D0}" name="GEAR"/>
    <tableColumn id="10" xr3:uid="{27C79F32-047F-4B06-AA56-C114C19B71D5}" name="TYPE"/>
    <tableColumn id="11" xr3:uid="{5C937491-4251-40C4-802A-E3D58068B7B3}" name="DESIGNATINO"/>
    <tableColumn id="12" xr3:uid="{B0E5FDE6-D16F-469E-A499-1FBCB3007D92}" name="Ignition Gateway Device Name" dataDxfId="9">
      <calculatedColumnFormula>_xlfn.TEXTJOIN("_", TRUE, Table5[[#This Row],[GEAR]:[DESIGNATINO]])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1A0CEA-4FCD-4B6A-B724-F9C8C0238860}" name="Table6" displayName="Table6" ref="A1:L40" totalsRowShown="0">
  <autoFilter ref="A1:L40" xr:uid="{3C1A0CEA-4FCD-4B6A-B724-F9C8C0238860}">
    <filterColumn colId="9">
      <filters>
        <filter val="BKR"/>
      </filters>
    </filterColumn>
  </autoFilter>
  <tableColumns count="12">
    <tableColumn id="1" xr3:uid="{6339B990-187C-47B6-8784-0FCD4CE1E528}" name="JDC - System Name"/>
    <tableColumn id="2" xr3:uid="{88CC3203-7ECA-4532-BF63-4729C8B115EF}" name="JDC - Breaker Name"/>
    <tableColumn id="3" xr3:uid="{27368E38-72E4-4535-9253-E1E18BB6A162}" name="JDC - SWBD Device Name"/>
    <tableColumn id="4" xr3:uid="{65BFB131-A98A-414B-9558-69BDE6500935}" name="HBT Device Tag"/>
    <tableColumn id="5" xr3:uid="{2A4F6583-78C2-4354-B726-BE1D745BAAC1}" name="HBT Device Description"/>
    <tableColumn id="6" xr3:uid="{04266CDD-AF8E-497B-93A8-D70D307EDFF9}" name="IP Address"/>
    <tableColumn id="7" xr3:uid="{49F5C62C-FA0F-4DEE-8B9E-509A6A2C2291}" name="Subnet"/>
    <tableColumn id="8" xr3:uid="{56BDED7C-80B9-46A2-9C30-4318EEA8CBCF}" name="Gateway"/>
    <tableColumn id="9" xr3:uid="{8B209D56-2860-4D9F-BC24-05675E32896F}" name="GEAR"/>
    <tableColumn id="10" xr3:uid="{92175F6E-9C6A-41C3-99E1-F2F70E52B793}" name="TYPE"/>
    <tableColumn id="11" xr3:uid="{1356C650-715D-4C39-A0B9-F5C7B2F5A20A}" name="DESIGNATINO"/>
    <tableColumn id="12" xr3:uid="{1B23DF47-D384-4C46-8DA1-D75CB009409B}" name="Ignition Gateway Device Name" dataDxfId="8">
      <calculatedColumnFormula>_xlfn.TEXTJOIN("_", TRUE, Table6[[#This Row],[GEAR]:[DESIGNATINO]])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078B-1CA3-4FD3-9C4A-2E06376844C1}">
  <dimension ref="A1:H1394"/>
  <sheetViews>
    <sheetView topLeftCell="A193" workbookViewId="0">
      <selection activeCell="F1" sqref="F1:H1"/>
    </sheetView>
  </sheetViews>
  <sheetFormatPr defaultRowHeight="15" x14ac:dyDescent="0.25"/>
  <cols>
    <col min="1" max="1" width="25.28515625" bestFit="1" customWidth="1"/>
    <col min="2" max="2" width="26.85546875" bestFit="1" customWidth="1"/>
    <col min="3" max="3" width="26.7109375" bestFit="1" customWidth="1"/>
    <col min="4" max="4" width="36.140625" bestFit="1" customWidth="1"/>
    <col min="5" max="5" width="34.7109375" bestFit="1" customWidth="1"/>
    <col min="6" max="6" width="13.85546875" bestFit="1" customWidth="1"/>
    <col min="7" max="7" width="12.7109375" bestFit="1" customWidth="1"/>
    <col min="8" max="8" width="11.7109375" bestFit="1" customWidth="1"/>
  </cols>
  <sheetData>
    <row r="1" spans="1:8" x14ac:dyDescent="0.25">
      <c r="A1" t="s">
        <v>0</v>
      </c>
      <c r="B1" t="s">
        <v>1</v>
      </c>
      <c r="C1" t="s">
        <v>630</v>
      </c>
      <c r="D1" t="s">
        <v>631</v>
      </c>
      <c r="E1" t="s">
        <v>632</v>
      </c>
      <c r="F1" t="s">
        <v>2035</v>
      </c>
      <c r="G1" t="s">
        <v>2036</v>
      </c>
      <c r="H1" t="s">
        <v>692</v>
      </c>
    </row>
    <row r="2" spans="1:8" x14ac:dyDescent="0.25">
      <c r="A2" t="s">
        <v>2</v>
      </c>
      <c r="B2" t="s">
        <v>3</v>
      </c>
      <c r="C2" t="s">
        <v>633</v>
      </c>
      <c r="D2" t="s">
        <v>634</v>
      </c>
      <c r="E2" t="s">
        <v>635</v>
      </c>
      <c r="F2" t="s">
        <v>2039</v>
      </c>
      <c r="G2" t="s">
        <v>2037</v>
      </c>
      <c r="H2" t="s">
        <v>2038</v>
      </c>
    </row>
    <row r="3" spans="1:8" x14ac:dyDescent="0.25">
      <c r="A3" t="s">
        <v>4</v>
      </c>
      <c r="B3" t="s">
        <v>5</v>
      </c>
      <c r="C3" t="s">
        <v>636</v>
      </c>
      <c r="D3" t="s">
        <v>637</v>
      </c>
      <c r="E3" t="s">
        <v>638</v>
      </c>
      <c r="F3" t="s">
        <v>2040</v>
      </c>
      <c r="G3" t="s">
        <v>2037</v>
      </c>
      <c r="H3" t="s">
        <v>2038</v>
      </c>
    </row>
    <row r="4" spans="1:8" x14ac:dyDescent="0.25">
      <c r="A4" t="s">
        <v>4</v>
      </c>
      <c r="B4" t="s">
        <v>6</v>
      </c>
      <c r="C4" t="s">
        <v>639</v>
      </c>
      <c r="D4" t="s">
        <v>640</v>
      </c>
      <c r="E4" t="s">
        <v>6</v>
      </c>
      <c r="F4" t="s">
        <v>2041</v>
      </c>
      <c r="G4" t="s">
        <v>2037</v>
      </c>
      <c r="H4" t="s">
        <v>2038</v>
      </c>
    </row>
    <row r="5" spans="1:8" x14ac:dyDescent="0.25">
      <c r="A5" t="s">
        <v>4</v>
      </c>
      <c r="B5" t="s">
        <v>7</v>
      </c>
      <c r="C5" t="s">
        <v>641</v>
      </c>
      <c r="D5" t="s">
        <v>642</v>
      </c>
      <c r="E5" t="s">
        <v>7</v>
      </c>
      <c r="F5" t="s">
        <v>2042</v>
      </c>
      <c r="G5" t="s">
        <v>2037</v>
      </c>
      <c r="H5" t="s">
        <v>2038</v>
      </c>
    </row>
    <row r="6" spans="1:8" x14ac:dyDescent="0.25">
      <c r="A6" t="s">
        <v>4</v>
      </c>
      <c r="B6" t="s">
        <v>8</v>
      </c>
      <c r="C6" t="s">
        <v>643</v>
      </c>
      <c r="D6" t="s">
        <v>644</v>
      </c>
      <c r="E6" t="s">
        <v>645</v>
      </c>
      <c r="F6" t="s">
        <v>2043</v>
      </c>
      <c r="G6" t="s">
        <v>2037</v>
      </c>
      <c r="H6" t="s">
        <v>2038</v>
      </c>
    </row>
    <row r="7" spans="1:8" x14ac:dyDescent="0.25">
      <c r="A7" t="s">
        <v>4</v>
      </c>
      <c r="B7" t="s">
        <v>9</v>
      </c>
      <c r="C7" t="s">
        <v>646</v>
      </c>
      <c r="D7" t="s">
        <v>647</v>
      </c>
      <c r="E7" t="s">
        <v>647</v>
      </c>
      <c r="F7" t="s">
        <v>2044</v>
      </c>
      <c r="G7" t="s">
        <v>2037</v>
      </c>
      <c r="H7" t="s">
        <v>2038</v>
      </c>
    </row>
    <row r="8" spans="1:8" x14ac:dyDescent="0.25">
      <c r="A8" t="s">
        <v>4</v>
      </c>
      <c r="B8" t="s">
        <v>10</v>
      </c>
      <c r="C8" t="s">
        <v>648</v>
      </c>
      <c r="D8" t="s">
        <v>649</v>
      </c>
      <c r="E8" t="s">
        <v>66</v>
      </c>
      <c r="F8" t="s">
        <v>2045</v>
      </c>
      <c r="G8" t="s">
        <v>2037</v>
      </c>
      <c r="H8" t="s">
        <v>2038</v>
      </c>
    </row>
    <row r="9" spans="1:8" x14ac:dyDescent="0.25">
      <c r="A9" t="s">
        <v>4</v>
      </c>
      <c r="B9" t="s">
        <v>11</v>
      </c>
      <c r="C9" t="s">
        <v>650</v>
      </c>
      <c r="D9" t="s">
        <v>651</v>
      </c>
      <c r="E9" t="s">
        <v>652</v>
      </c>
      <c r="F9" t="s">
        <v>2046</v>
      </c>
      <c r="G9" t="s">
        <v>2037</v>
      </c>
      <c r="H9" t="s">
        <v>2038</v>
      </c>
    </row>
    <row r="10" spans="1:8" x14ac:dyDescent="0.25">
      <c r="A10" t="s">
        <v>4</v>
      </c>
      <c r="B10" t="s">
        <v>12</v>
      </c>
      <c r="C10" t="s">
        <v>653</v>
      </c>
      <c r="D10" t="s">
        <v>654</v>
      </c>
      <c r="E10" t="s">
        <v>655</v>
      </c>
      <c r="F10" t="s">
        <v>2047</v>
      </c>
      <c r="G10" t="s">
        <v>2037</v>
      </c>
      <c r="H10" t="s">
        <v>2038</v>
      </c>
    </row>
    <row r="11" spans="1:8" x14ac:dyDescent="0.25">
      <c r="A11" t="s">
        <v>4</v>
      </c>
      <c r="B11" t="s">
        <v>13</v>
      </c>
      <c r="C11" t="s">
        <v>656</v>
      </c>
      <c r="D11" t="s">
        <v>657</v>
      </c>
      <c r="E11" t="s">
        <v>13</v>
      </c>
      <c r="F11" t="s">
        <v>2048</v>
      </c>
      <c r="G11" t="s">
        <v>2037</v>
      </c>
      <c r="H11" t="s">
        <v>2038</v>
      </c>
    </row>
    <row r="12" spans="1:8" x14ac:dyDescent="0.25">
      <c r="A12" t="s">
        <v>4</v>
      </c>
      <c r="B12" t="s">
        <v>8</v>
      </c>
      <c r="C12" t="s">
        <v>658</v>
      </c>
      <c r="D12" t="s">
        <v>659</v>
      </c>
      <c r="E12" t="s">
        <v>660</v>
      </c>
      <c r="F12" t="s">
        <v>2049</v>
      </c>
      <c r="G12" t="s">
        <v>2037</v>
      </c>
      <c r="H12" t="s">
        <v>2038</v>
      </c>
    </row>
    <row r="13" spans="1:8" x14ac:dyDescent="0.25">
      <c r="A13" t="s">
        <v>4</v>
      </c>
      <c r="B13" t="s">
        <v>14</v>
      </c>
      <c r="C13" t="s">
        <v>661</v>
      </c>
      <c r="D13" t="s">
        <v>662</v>
      </c>
      <c r="E13" t="s">
        <v>663</v>
      </c>
      <c r="F13" t="s">
        <v>2050</v>
      </c>
      <c r="G13" t="s">
        <v>2037</v>
      </c>
      <c r="H13" t="s">
        <v>2038</v>
      </c>
    </row>
    <row r="14" spans="1:8" x14ac:dyDescent="0.25">
      <c r="A14" t="s">
        <v>15</v>
      </c>
      <c r="B14" t="s">
        <v>16</v>
      </c>
      <c r="C14" t="s">
        <v>664</v>
      </c>
      <c r="D14" t="s">
        <v>665</v>
      </c>
      <c r="E14" t="s">
        <v>16</v>
      </c>
      <c r="F14" t="s">
        <v>2051</v>
      </c>
      <c r="G14" t="s">
        <v>2037</v>
      </c>
      <c r="H14" t="s">
        <v>2038</v>
      </c>
    </row>
    <row r="15" spans="1:8" x14ac:dyDescent="0.25">
      <c r="A15" t="s">
        <v>15</v>
      </c>
      <c r="B15" t="s">
        <v>17</v>
      </c>
      <c r="C15" t="s">
        <v>666</v>
      </c>
      <c r="D15" t="s">
        <v>667</v>
      </c>
      <c r="E15" t="s">
        <v>17</v>
      </c>
      <c r="F15" t="s">
        <v>2052</v>
      </c>
      <c r="G15" t="s">
        <v>2037</v>
      </c>
      <c r="H15" t="s">
        <v>2038</v>
      </c>
    </row>
    <row r="16" spans="1:8" x14ac:dyDescent="0.25">
      <c r="A16" t="s">
        <v>15</v>
      </c>
      <c r="B16" t="s">
        <v>18</v>
      </c>
      <c r="C16" t="s">
        <v>668</v>
      </c>
      <c r="D16" t="s">
        <v>669</v>
      </c>
      <c r="E16" t="s">
        <v>670</v>
      </c>
      <c r="F16" t="s">
        <v>2053</v>
      </c>
      <c r="G16" t="s">
        <v>2037</v>
      </c>
      <c r="H16" t="s">
        <v>2038</v>
      </c>
    </row>
    <row r="17" spans="1:8" x14ac:dyDescent="0.25">
      <c r="A17" t="s">
        <v>15</v>
      </c>
      <c r="B17" t="s">
        <v>8</v>
      </c>
      <c r="C17" t="s">
        <v>671</v>
      </c>
      <c r="D17" t="s">
        <v>672</v>
      </c>
      <c r="E17" t="s">
        <v>8</v>
      </c>
      <c r="F17" t="s">
        <v>2054</v>
      </c>
      <c r="G17" t="s">
        <v>2037</v>
      </c>
      <c r="H17" t="s">
        <v>2038</v>
      </c>
    </row>
    <row r="18" spans="1:8" x14ac:dyDescent="0.25">
      <c r="A18" t="s">
        <v>15</v>
      </c>
      <c r="B18" t="s">
        <v>19</v>
      </c>
      <c r="C18" t="s">
        <v>673</v>
      </c>
      <c r="D18" t="s">
        <v>674</v>
      </c>
      <c r="E18" t="s">
        <v>71</v>
      </c>
      <c r="F18" t="s">
        <v>2055</v>
      </c>
      <c r="G18" t="s">
        <v>2037</v>
      </c>
      <c r="H18" t="s">
        <v>2038</v>
      </c>
    </row>
    <row r="19" spans="1:8" x14ac:dyDescent="0.25">
      <c r="A19" t="s">
        <v>15</v>
      </c>
      <c r="B19" t="s">
        <v>20</v>
      </c>
      <c r="C19" t="s">
        <v>675</v>
      </c>
      <c r="D19" t="s">
        <v>676</v>
      </c>
      <c r="E19" t="s">
        <v>72</v>
      </c>
      <c r="F19" t="s">
        <v>2056</v>
      </c>
      <c r="G19" t="s">
        <v>2037</v>
      </c>
      <c r="H19" t="s">
        <v>2038</v>
      </c>
    </row>
    <row r="20" spans="1:8" x14ac:dyDescent="0.25">
      <c r="A20" t="s">
        <v>15</v>
      </c>
      <c r="B20" t="s">
        <v>21</v>
      </c>
      <c r="C20" t="s">
        <v>677</v>
      </c>
      <c r="D20" t="s">
        <v>678</v>
      </c>
      <c r="E20" t="s">
        <v>73</v>
      </c>
      <c r="F20" t="s">
        <v>2057</v>
      </c>
      <c r="G20" t="s">
        <v>2037</v>
      </c>
      <c r="H20" t="s">
        <v>2038</v>
      </c>
    </row>
    <row r="21" spans="1:8" x14ac:dyDescent="0.25">
      <c r="A21" t="s">
        <v>15</v>
      </c>
      <c r="B21" t="s">
        <v>22</v>
      </c>
      <c r="C21" t="s">
        <v>679</v>
      </c>
      <c r="D21" t="s">
        <v>680</v>
      </c>
      <c r="E21" t="s">
        <v>74</v>
      </c>
      <c r="F21" t="s">
        <v>2058</v>
      </c>
      <c r="G21" t="s">
        <v>2037</v>
      </c>
      <c r="H21" t="s">
        <v>2038</v>
      </c>
    </row>
    <row r="22" spans="1:8" x14ac:dyDescent="0.25">
      <c r="A22" t="s">
        <v>15</v>
      </c>
      <c r="B22" t="s">
        <v>23</v>
      </c>
      <c r="C22" t="s">
        <v>671</v>
      </c>
      <c r="D22" t="s">
        <v>681</v>
      </c>
      <c r="E22" t="s">
        <v>75</v>
      </c>
      <c r="F22" t="s">
        <v>2059</v>
      </c>
      <c r="G22" t="s">
        <v>2037</v>
      </c>
      <c r="H22" t="s">
        <v>2038</v>
      </c>
    </row>
    <row r="23" spans="1:8" x14ac:dyDescent="0.25">
      <c r="A23" t="s">
        <v>15</v>
      </c>
      <c r="B23" t="s">
        <v>24</v>
      </c>
      <c r="C23" t="s">
        <v>671</v>
      </c>
      <c r="D23" t="s">
        <v>682</v>
      </c>
      <c r="E23" t="s">
        <v>76</v>
      </c>
      <c r="F23" t="s">
        <v>2060</v>
      </c>
      <c r="G23" t="s">
        <v>2037</v>
      </c>
      <c r="H23" t="s">
        <v>2038</v>
      </c>
    </row>
    <row r="24" spans="1:8" x14ac:dyDescent="0.25">
      <c r="A24" t="s">
        <v>15</v>
      </c>
      <c r="B24" t="s">
        <v>25</v>
      </c>
      <c r="C24" t="s">
        <v>683</v>
      </c>
      <c r="D24" t="s">
        <v>684</v>
      </c>
      <c r="E24" t="s">
        <v>77</v>
      </c>
      <c r="F24" t="s">
        <v>2061</v>
      </c>
      <c r="G24" t="s">
        <v>2037</v>
      </c>
      <c r="H24" t="s">
        <v>2038</v>
      </c>
    </row>
    <row r="25" spans="1:8" x14ac:dyDescent="0.25">
      <c r="A25" t="s">
        <v>15</v>
      </c>
      <c r="B25" t="s">
        <v>26</v>
      </c>
      <c r="C25" t="s">
        <v>685</v>
      </c>
      <c r="D25" t="s">
        <v>686</v>
      </c>
      <c r="E25" t="s">
        <v>687</v>
      </c>
      <c r="F25" t="s">
        <v>2062</v>
      </c>
      <c r="G25" t="s">
        <v>2037</v>
      </c>
      <c r="H25" t="s">
        <v>2038</v>
      </c>
    </row>
    <row r="26" spans="1:8" x14ac:dyDescent="0.25">
      <c r="A26" t="s">
        <v>2</v>
      </c>
      <c r="B26" t="s">
        <v>27</v>
      </c>
      <c r="C26" t="s">
        <v>688</v>
      </c>
      <c r="D26" t="s">
        <v>689</v>
      </c>
      <c r="E26" t="s">
        <v>689</v>
      </c>
      <c r="F26" t="s">
        <v>2063</v>
      </c>
      <c r="G26" t="s">
        <v>2037</v>
      </c>
      <c r="H26" t="s">
        <v>2038</v>
      </c>
    </row>
    <row r="27" spans="1:8" x14ac:dyDescent="0.25">
      <c r="A27" t="s">
        <v>4</v>
      </c>
      <c r="B27" t="s">
        <v>28</v>
      </c>
      <c r="C27" t="s">
        <v>690</v>
      </c>
      <c r="D27" t="s">
        <v>691</v>
      </c>
      <c r="E27" t="s">
        <v>692</v>
      </c>
      <c r="F27" t="s">
        <v>2064</v>
      </c>
      <c r="G27" t="s">
        <v>2037</v>
      </c>
      <c r="H27" t="s">
        <v>2038</v>
      </c>
    </row>
    <row r="28" spans="1:8" x14ac:dyDescent="0.25">
      <c r="A28" t="s">
        <v>4</v>
      </c>
      <c r="B28" t="s">
        <v>29</v>
      </c>
      <c r="C28" t="s">
        <v>693</v>
      </c>
      <c r="F28" t="s">
        <v>2065</v>
      </c>
      <c r="G28" t="s">
        <v>2037</v>
      </c>
      <c r="H28" t="s">
        <v>2038</v>
      </c>
    </row>
    <row r="29" spans="1:8" x14ac:dyDescent="0.25">
      <c r="A29" t="s">
        <v>30</v>
      </c>
      <c r="B29" t="s">
        <v>31</v>
      </c>
      <c r="C29" t="s">
        <v>694</v>
      </c>
      <c r="D29" t="s">
        <v>695</v>
      </c>
      <c r="E29" t="s">
        <v>31</v>
      </c>
      <c r="F29" t="s">
        <v>2066</v>
      </c>
      <c r="G29" t="s">
        <v>2037</v>
      </c>
      <c r="H29" t="s">
        <v>2038</v>
      </c>
    </row>
    <row r="30" spans="1:8" x14ac:dyDescent="0.25">
      <c r="A30" t="s">
        <v>30</v>
      </c>
      <c r="B30" t="s">
        <v>17</v>
      </c>
      <c r="C30" t="s">
        <v>696</v>
      </c>
      <c r="D30" t="s">
        <v>697</v>
      </c>
      <c r="E30" t="s">
        <v>17</v>
      </c>
      <c r="F30" t="s">
        <v>2067</v>
      </c>
      <c r="G30" t="s">
        <v>2037</v>
      </c>
      <c r="H30" t="s">
        <v>2038</v>
      </c>
    </row>
    <row r="31" spans="1:8" x14ac:dyDescent="0.25">
      <c r="A31" t="s">
        <v>30</v>
      </c>
      <c r="B31" t="s">
        <v>16</v>
      </c>
      <c r="C31" t="s">
        <v>698</v>
      </c>
      <c r="D31" t="s">
        <v>699</v>
      </c>
      <c r="E31" t="s">
        <v>16</v>
      </c>
      <c r="F31" t="s">
        <v>2068</v>
      </c>
      <c r="G31" t="s">
        <v>2037</v>
      </c>
      <c r="H31" t="s">
        <v>2038</v>
      </c>
    </row>
    <row r="32" spans="1:8" x14ac:dyDescent="0.25">
      <c r="A32" t="s">
        <v>30</v>
      </c>
      <c r="B32" t="s">
        <v>32</v>
      </c>
      <c r="C32" t="s">
        <v>700</v>
      </c>
      <c r="D32" t="s">
        <v>701</v>
      </c>
      <c r="E32" t="s">
        <v>702</v>
      </c>
      <c r="F32" t="s">
        <v>2069</v>
      </c>
      <c r="G32" t="s">
        <v>2037</v>
      </c>
      <c r="H32" t="s">
        <v>2038</v>
      </c>
    </row>
    <row r="33" spans="1:8" x14ac:dyDescent="0.25">
      <c r="A33" t="s">
        <v>30</v>
      </c>
      <c r="B33" t="s">
        <v>33</v>
      </c>
      <c r="C33" t="s">
        <v>703</v>
      </c>
      <c r="D33" t="s">
        <v>704</v>
      </c>
      <c r="E33" t="s">
        <v>705</v>
      </c>
      <c r="F33" t="s">
        <v>2070</v>
      </c>
      <c r="G33" t="s">
        <v>2037</v>
      </c>
      <c r="H33" t="s">
        <v>2038</v>
      </c>
    </row>
    <row r="34" spans="1:8" x14ac:dyDescent="0.25">
      <c r="A34" t="s">
        <v>30</v>
      </c>
      <c r="B34" t="s">
        <v>34</v>
      </c>
      <c r="C34" t="s">
        <v>706</v>
      </c>
      <c r="D34" t="s">
        <v>707</v>
      </c>
      <c r="E34" t="s">
        <v>708</v>
      </c>
      <c r="F34" t="s">
        <v>2071</v>
      </c>
      <c r="G34" t="s">
        <v>2037</v>
      </c>
      <c r="H34" t="s">
        <v>2038</v>
      </c>
    </row>
    <row r="35" spans="1:8" x14ac:dyDescent="0.25">
      <c r="A35" t="s">
        <v>30</v>
      </c>
      <c r="B35" t="s">
        <v>35</v>
      </c>
      <c r="C35" t="s">
        <v>709</v>
      </c>
      <c r="D35" t="s">
        <v>710</v>
      </c>
      <c r="E35" t="s">
        <v>711</v>
      </c>
      <c r="F35" t="s">
        <v>2072</v>
      </c>
      <c r="G35" t="s">
        <v>2037</v>
      </c>
      <c r="H35" t="s">
        <v>2038</v>
      </c>
    </row>
    <row r="36" spans="1:8" x14ac:dyDescent="0.25">
      <c r="A36" t="s">
        <v>30</v>
      </c>
      <c r="B36" t="s">
        <v>36</v>
      </c>
      <c r="C36" t="s">
        <v>712</v>
      </c>
      <c r="D36" t="s">
        <v>713</v>
      </c>
      <c r="E36" t="s">
        <v>714</v>
      </c>
      <c r="F36" t="s">
        <v>2073</v>
      </c>
      <c r="G36" t="s">
        <v>2037</v>
      </c>
      <c r="H36" t="s">
        <v>2038</v>
      </c>
    </row>
    <row r="37" spans="1:8" x14ac:dyDescent="0.25">
      <c r="A37" t="s">
        <v>30</v>
      </c>
      <c r="B37" t="s">
        <v>37</v>
      </c>
      <c r="C37" t="s">
        <v>715</v>
      </c>
      <c r="D37" t="s">
        <v>716</v>
      </c>
      <c r="E37" t="s">
        <v>717</v>
      </c>
      <c r="F37" t="s">
        <v>2074</v>
      </c>
      <c r="G37" t="s">
        <v>2037</v>
      </c>
      <c r="H37" t="s">
        <v>2038</v>
      </c>
    </row>
    <row r="38" spans="1:8" x14ac:dyDescent="0.25">
      <c r="A38" t="s">
        <v>30</v>
      </c>
      <c r="B38" t="s">
        <v>38</v>
      </c>
      <c r="C38" t="s">
        <v>718</v>
      </c>
      <c r="D38" t="s">
        <v>719</v>
      </c>
      <c r="E38" t="s">
        <v>720</v>
      </c>
      <c r="F38" t="s">
        <v>2075</v>
      </c>
      <c r="G38" t="s">
        <v>2037</v>
      </c>
      <c r="H38" t="s">
        <v>2038</v>
      </c>
    </row>
    <row r="39" spans="1:8" x14ac:dyDescent="0.25">
      <c r="A39" t="s">
        <v>30</v>
      </c>
      <c r="B39" t="s">
        <v>8</v>
      </c>
      <c r="C39" t="s">
        <v>721</v>
      </c>
      <c r="D39" t="s">
        <v>722</v>
      </c>
      <c r="E39" t="s">
        <v>645</v>
      </c>
      <c r="F39" t="s">
        <v>2076</v>
      </c>
      <c r="G39" t="s">
        <v>2037</v>
      </c>
      <c r="H39" t="s">
        <v>2038</v>
      </c>
    </row>
    <row r="40" spans="1:8" x14ac:dyDescent="0.25">
      <c r="A40" t="s">
        <v>30</v>
      </c>
      <c r="B40" t="s">
        <v>8</v>
      </c>
      <c r="C40" t="s">
        <v>723</v>
      </c>
      <c r="D40" t="s">
        <v>724</v>
      </c>
      <c r="E40" t="s">
        <v>660</v>
      </c>
      <c r="F40" t="s">
        <v>2077</v>
      </c>
      <c r="G40" t="s">
        <v>2037</v>
      </c>
      <c r="H40" t="s">
        <v>2038</v>
      </c>
    </row>
    <row r="41" spans="1:8" x14ac:dyDescent="0.25">
      <c r="A41" t="s">
        <v>30</v>
      </c>
      <c r="B41" t="s">
        <v>39</v>
      </c>
      <c r="C41" t="s">
        <v>725</v>
      </c>
      <c r="D41" t="s">
        <v>726</v>
      </c>
      <c r="E41" t="s">
        <v>39</v>
      </c>
      <c r="F41" t="s">
        <v>2078</v>
      </c>
      <c r="G41" t="s">
        <v>2037</v>
      </c>
      <c r="H41" t="s">
        <v>2038</v>
      </c>
    </row>
    <row r="42" spans="1:8" x14ac:dyDescent="0.25">
      <c r="A42" t="s">
        <v>30</v>
      </c>
      <c r="B42" t="s">
        <v>8</v>
      </c>
      <c r="C42" t="s">
        <v>727</v>
      </c>
      <c r="D42" t="s">
        <v>70</v>
      </c>
      <c r="E42" t="s">
        <v>70</v>
      </c>
      <c r="F42" t="s">
        <v>2079</v>
      </c>
    </row>
    <row r="43" spans="1:8" x14ac:dyDescent="0.25">
      <c r="A43" t="s">
        <v>30</v>
      </c>
      <c r="B43" t="s">
        <v>40</v>
      </c>
      <c r="C43" t="s">
        <v>728</v>
      </c>
      <c r="D43" t="s">
        <v>729</v>
      </c>
      <c r="E43" t="s">
        <v>687</v>
      </c>
      <c r="F43" t="s">
        <v>2080</v>
      </c>
      <c r="G43" t="s">
        <v>2037</v>
      </c>
      <c r="H43" t="s">
        <v>2038</v>
      </c>
    </row>
    <row r="44" spans="1:8" x14ac:dyDescent="0.25">
      <c r="D44" t="s">
        <v>730</v>
      </c>
      <c r="E44" t="s">
        <v>731</v>
      </c>
      <c r="F44" t="s">
        <v>2081</v>
      </c>
      <c r="G44" t="s">
        <v>2037</v>
      </c>
      <c r="H44" t="s">
        <v>2038</v>
      </c>
    </row>
    <row r="45" spans="1:8" x14ac:dyDescent="0.25">
      <c r="D45" t="s">
        <v>732</v>
      </c>
      <c r="E45" t="s">
        <v>731</v>
      </c>
      <c r="F45" t="s">
        <v>2082</v>
      </c>
      <c r="G45" t="s">
        <v>2037</v>
      </c>
      <c r="H45" t="s">
        <v>2038</v>
      </c>
    </row>
    <row r="46" spans="1:8" x14ac:dyDescent="0.25">
      <c r="D46" t="s">
        <v>733</v>
      </c>
      <c r="E46" t="s">
        <v>731</v>
      </c>
      <c r="F46" t="s">
        <v>2083</v>
      </c>
      <c r="G46" t="s">
        <v>2037</v>
      </c>
      <c r="H46" t="s">
        <v>2038</v>
      </c>
    </row>
    <row r="47" spans="1:8" x14ac:dyDescent="0.25">
      <c r="D47" t="s">
        <v>734</v>
      </c>
      <c r="E47" t="s">
        <v>731</v>
      </c>
      <c r="F47" t="s">
        <v>2084</v>
      </c>
      <c r="G47" t="s">
        <v>2037</v>
      </c>
      <c r="H47" t="s">
        <v>2038</v>
      </c>
    </row>
    <row r="48" spans="1:8" x14ac:dyDescent="0.25">
      <c r="D48" t="s">
        <v>735</v>
      </c>
      <c r="E48" t="s">
        <v>731</v>
      </c>
      <c r="F48" t="s">
        <v>2085</v>
      </c>
      <c r="G48" t="s">
        <v>2037</v>
      </c>
      <c r="H48" t="s">
        <v>2038</v>
      </c>
    </row>
    <row r="49" spans="4:8" x14ac:dyDescent="0.25">
      <c r="D49" t="s">
        <v>736</v>
      </c>
      <c r="E49" t="s">
        <v>731</v>
      </c>
      <c r="F49" t="s">
        <v>2086</v>
      </c>
      <c r="G49" t="s">
        <v>2037</v>
      </c>
      <c r="H49" t="s">
        <v>2038</v>
      </c>
    </row>
    <row r="50" spans="4:8" x14ac:dyDescent="0.25">
      <c r="D50" t="s">
        <v>737</v>
      </c>
      <c r="E50" t="s">
        <v>731</v>
      </c>
      <c r="F50" t="s">
        <v>2087</v>
      </c>
      <c r="G50" t="s">
        <v>2037</v>
      </c>
      <c r="H50" t="s">
        <v>2038</v>
      </c>
    </row>
    <row r="51" spans="4:8" x14ac:dyDescent="0.25">
      <c r="D51" t="s">
        <v>738</v>
      </c>
      <c r="E51" t="s">
        <v>731</v>
      </c>
      <c r="F51" t="s">
        <v>2088</v>
      </c>
      <c r="G51" t="s">
        <v>2037</v>
      </c>
      <c r="H51" t="s">
        <v>2038</v>
      </c>
    </row>
    <row r="52" spans="4:8" x14ac:dyDescent="0.25">
      <c r="D52" t="s">
        <v>739</v>
      </c>
      <c r="E52" t="s">
        <v>731</v>
      </c>
      <c r="F52" t="s">
        <v>2089</v>
      </c>
      <c r="G52" t="s">
        <v>2037</v>
      </c>
      <c r="H52" t="s">
        <v>2038</v>
      </c>
    </row>
    <row r="53" spans="4:8" x14ac:dyDescent="0.25">
      <c r="D53" t="s">
        <v>740</v>
      </c>
      <c r="E53" t="s">
        <v>731</v>
      </c>
      <c r="F53" t="s">
        <v>2090</v>
      </c>
      <c r="G53" t="s">
        <v>2037</v>
      </c>
      <c r="H53" t="s">
        <v>2038</v>
      </c>
    </row>
    <row r="54" spans="4:8" x14ac:dyDescent="0.25">
      <c r="D54" t="s">
        <v>741</v>
      </c>
      <c r="E54" t="s">
        <v>731</v>
      </c>
      <c r="F54" t="s">
        <v>2091</v>
      </c>
      <c r="G54" t="s">
        <v>2037</v>
      </c>
      <c r="H54" t="s">
        <v>2038</v>
      </c>
    </row>
    <row r="55" spans="4:8" x14ac:dyDescent="0.25">
      <c r="D55" t="s">
        <v>742</v>
      </c>
      <c r="E55" t="s">
        <v>731</v>
      </c>
      <c r="F55" t="s">
        <v>2092</v>
      </c>
      <c r="G55" t="s">
        <v>2037</v>
      </c>
      <c r="H55" t="s">
        <v>2038</v>
      </c>
    </row>
    <row r="56" spans="4:8" x14ac:dyDescent="0.25">
      <c r="D56" t="s">
        <v>743</v>
      </c>
      <c r="E56" t="s">
        <v>731</v>
      </c>
      <c r="F56" t="s">
        <v>2093</v>
      </c>
      <c r="G56" t="s">
        <v>2037</v>
      </c>
      <c r="H56" t="s">
        <v>2038</v>
      </c>
    </row>
    <row r="57" spans="4:8" x14ac:dyDescent="0.25">
      <c r="D57" t="s">
        <v>744</v>
      </c>
      <c r="E57" t="s">
        <v>731</v>
      </c>
      <c r="F57" t="s">
        <v>2094</v>
      </c>
      <c r="G57" t="s">
        <v>2037</v>
      </c>
      <c r="H57" t="s">
        <v>2038</v>
      </c>
    </row>
    <row r="58" spans="4:8" x14ac:dyDescent="0.25">
      <c r="D58" t="s">
        <v>745</v>
      </c>
      <c r="E58" t="s">
        <v>731</v>
      </c>
      <c r="F58" t="s">
        <v>2095</v>
      </c>
      <c r="G58" t="s">
        <v>2037</v>
      </c>
      <c r="H58" t="s">
        <v>2038</v>
      </c>
    </row>
    <row r="59" spans="4:8" x14ac:dyDescent="0.25">
      <c r="D59" t="s">
        <v>746</v>
      </c>
      <c r="E59" t="s">
        <v>731</v>
      </c>
      <c r="F59" t="s">
        <v>2096</v>
      </c>
      <c r="G59" t="s">
        <v>2037</v>
      </c>
      <c r="H59" t="s">
        <v>2038</v>
      </c>
    </row>
    <row r="60" spans="4:8" x14ac:dyDescent="0.25">
      <c r="D60" t="s">
        <v>747</v>
      </c>
      <c r="E60" t="s">
        <v>731</v>
      </c>
      <c r="F60" t="s">
        <v>2097</v>
      </c>
      <c r="G60" t="s">
        <v>2037</v>
      </c>
      <c r="H60" t="s">
        <v>2038</v>
      </c>
    </row>
    <row r="61" spans="4:8" x14ac:dyDescent="0.25">
      <c r="D61" t="s">
        <v>748</v>
      </c>
      <c r="E61" t="s">
        <v>731</v>
      </c>
      <c r="F61" t="s">
        <v>2098</v>
      </c>
      <c r="G61" t="s">
        <v>2037</v>
      </c>
      <c r="H61" t="s">
        <v>2038</v>
      </c>
    </row>
    <row r="62" spans="4:8" x14ac:dyDescent="0.25">
      <c r="D62" t="s">
        <v>749</v>
      </c>
      <c r="E62" t="s">
        <v>731</v>
      </c>
      <c r="F62" t="s">
        <v>2099</v>
      </c>
      <c r="G62" t="s">
        <v>2037</v>
      </c>
      <c r="H62" t="s">
        <v>2038</v>
      </c>
    </row>
    <row r="63" spans="4:8" x14ac:dyDescent="0.25">
      <c r="D63" t="s">
        <v>750</v>
      </c>
      <c r="E63" t="s">
        <v>731</v>
      </c>
      <c r="F63" t="s">
        <v>2100</v>
      </c>
      <c r="G63" t="s">
        <v>2037</v>
      </c>
      <c r="H63" t="s">
        <v>2038</v>
      </c>
    </row>
    <row r="64" spans="4:8" x14ac:dyDescent="0.25">
      <c r="D64" t="s">
        <v>751</v>
      </c>
      <c r="E64" t="s">
        <v>731</v>
      </c>
      <c r="F64" t="s">
        <v>2101</v>
      </c>
      <c r="G64" t="s">
        <v>2037</v>
      </c>
      <c r="H64" t="s">
        <v>2038</v>
      </c>
    </row>
    <row r="65" spans="4:8" x14ac:dyDescent="0.25">
      <c r="D65" t="s">
        <v>752</v>
      </c>
      <c r="E65" t="s">
        <v>731</v>
      </c>
      <c r="F65" t="s">
        <v>2102</v>
      </c>
      <c r="G65" t="s">
        <v>2037</v>
      </c>
      <c r="H65" t="s">
        <v>2038</v>
      </c>
    </row>
    <row r="66" spans="4:8" x14ac:dyDescent="0.25">
      <c r="D66" t="s">
        <v>753</v>
      </c>
      <c r="E66" t="s">
        <v>731</v>
      </c>
      <c r="F66" t="s">
        <v>2103</v>
      </c>
      <c r="G66" t="s">
        <v>2037</v>
      </c>
      <c r="H66" t="s">
        <v>2038</v>
      </c>
    </row>
    <row r="67" spans="4:8" x14ac:dyDescent="0.25">
      <c r="D67" t="s">
        <v>754</v>
      </c>
      <c r="E67" t="s">
        <v>731</v>
      </c>
      <c r="F67" t="s">
        <v>2104</v>
      </c>
      <c r="G67" t="s">
        <v>2037</v>
      </c>
      <c r="H67" t="s">
        <v>2038</v>
      </c>
    </row>
    <row r="68" spans="4:8" x14ac:dyDescent="0.25">
      <c r="D68" t="s">
        <v>755</v>
      </c>
      <c r="E68" t="s">
        <v>731</v>
      </c>
      <c r="F68" t="s">
        <v>2105</v>
      </c>
      <c r="G68" t="s">
        <v>2037</v>
      </c>
      <c r="H68" t="s">
        <v>2038</v>
      </c>
    </row>
    <row r="69" spans="4:8" x14ac:dyDescent="0.25">
      <c r="D69" t="s">
        <v>756</v>
      </c>
      <c r="E69" t="s">
        <v>731</v>
      </c>
      <c r="F69" t="s">
        <v>2106</v>
      </c>
      <c r="G69" t="s">
        <v>2037</v>
      </c>
      <c r="H69" t="s">
        <v>2038</v>
      </c>
    </row>
    <row r="70" spans="4:8" x14ac:dyDescent="0.25">
      <c r="D70" t="s">
        <v>757</v>
      </c>
      <c r="E70" t="s">
        <v>731</v>
      </c>
      <c r="F70" t="s">
        <v>2107</v>
      </c>
      <c r="G70" t="s">
        <v>2037</v>
      </c>
      <c r="H70" t="s">
        <v>2038</v>
      </c>
    </row>
    <row r="71" spans="4:8" x14ac:dyDescent="0.25">
      <c r="D71" t="s">
        <v>758</v>
      </c>
      <c r="E71" t="s">
        <v>731</v>
      </c>
      <c r="F71" t="s">
        <v>2108</v>
      </c>
      <c r="G71" t="s">
        <v>2037</v>
      </c>
      <c r="H71" t="s">
        <v>2038</v>
      </c>
    </row>
    <row r="72" spans="4:8" x14ac:dyDescent="0.25">
      <c r="D72" t="s">
        <v>759</v>
      </c>
      <c r="E72" t="s">
        <v>731</v>
      </c>
      <c r="F72" t="s">
        <v>2109</v>
      </c>
      <c r="G72" t="s">
        <v>2037</v>
      </c>
      <c r="H72" t="s">
        <v>2038</v>
      </c>
    </row>
    <row r="73" spans="4:8" x14ac:dyDescent="0.25">
      <c r="D73" t="s">
        <v>760</v>
      </c>
      <c r="E73" t="s">
        <v>731</v>
      </c>
      <c r="F73" t="s">
        <v>2110</v>
      </c>
      <c r="G73" t="s">
        <v>2037</v>
      </c>
      <c r="H73" t="s">
        <v>2038</v>
      </c>
    </row>
    <row r="74" spans="4:8" x14ac:dyDescent="0.25">
      <c r="D74" t="s">
        <v>761</v>
      </c>
      <c r="E74" t="s">
        <v>731</v>
      </c>
      <c r="F74" t="s">
        <v>2111</v>
      </c>
      <c r="G74" t="s">
        <v>2037</v>
      </c>
      <c r="H74" t="s">
        <v>2038</v>
      </c>
    </row>
    <row r="75" spans="4:8" x14ac:dyDescent="0.25">
      <c r="D75" t="s">
        <v>762</v>
      </c>
      <c r="E75" t="s">
        <v>731</v>
      </c>
      <c r="F75" t="s">
        <v>2112</v>
      </c>
      <c r="G75" t="s">
        <v>2037</v>
      </c>
      <c r="H75" t="s">
        <v>2038</v>
      </c>
    </row>
    <row r="76" spans="4:8" x14ac:dyDescent="0.25">
      <c r="D76" t="s">
        <v>763</v>
      </c>
      <c r="E76" t="s">
        <v>731</v>
      </c>
      <c r="F76" t="s">
        <v>2113</v>
      </c>
      <c r="G76" t="s">
        <v>2037</v>
      </c>
      <c r="H76" t="s">
        <v>2038</v>
      </c>
    </row>
    <row r="77" spans="4:8" x14ac:dyDescent="0.25">
      <c r="D77" t="s">
        <v>764</v>
      </c>
      <c r="E77" t="s">
        <v>731</v>
      </c>
      <c r="F77" t="s">
        <v>2114</v>
      </c>
      <c r="G77" t="s">
        <v>2037</v>
      </c>
      <c r="H77" t="s">
        <v>2038</v>
      </c>
    </row>
    <row r="78" spans="4:8" x14ac:dyDescent="0.25">
      <c r="D78" t="s">
        <v>765</v>
      </c>
      <c r="E78" t="s">
        <v>731</v>
      </c>
      <c r="F78" t="s">
        <v>2115</v>
      </c>
      <c r="G78" t="s">
        <v>2037</v>
      </c>
      <c r="H78" t="s">
        <v>2038</v>
      </c>
    </row>
    <row r="79" spans="4:8" x14ac:dyDescent="0.25">
      <c r="D79" t="s">
        <v>766</v>
      </c>
      <c r="E79" t="s">
        <v>731</v>
      </c>
      <c r="F79" t="s">
        <v>2116</v>
      </c>
      <c r="G79" t="s">
        <v>2037</v>
      </c>
      <c r="H79" t="s">
        <v>2038</v>
      </c>
    </row>
    <row r="80" spans="4:8" x14ac:dyDescent="0.25">
      <c r="D80" t="s">
        <v>767</v>
      </c>
      <c r="E80" t="s">
        <v>731</v>
      </c>
      <c r="F80" t="s">
        <v>2117</v>
      </c>
      <c r="G80" t="s">
        <v>2037</v>
      </c>
      <c r="H80" t="s">
        <v>2038</v>
      </c>
    </row>
    <row r="81" spans="4:8" x14ac:dyDescent="0.25">
      <c r="D81" t="s">
        <v>768</v>
      </c>
      <c r="E81" t="s">
        <v>731</v>
      </c>
      <c r="F81" t="s">
        <v>2118</v>
      </c>
      <c r="G81" t="s">
        <v>2037</v>
      </c>
      <c r="H81" t="s">
        <v>2038</v>
      </c>
    </row>
    <row r="82" spans="4:8" x14ac:dyDescent="0.25">
      <c r="D82" t="s">
        <v>769</v>
      </c>
      <c r="E82" t="s">
        <v>731</v>
      </c>
      <c r="F82" t="s">
        <v>2119</v>
      </c>
      <c r="G82" t="s">
        <v>2037</v>
      </c>
      <c r="H82" t="s">
        <v>2038</v>
      </c>
    </row>
    <row r="83" spans="4:8" x14ac:dyDescent="0.25">
      <c r="D83" t="s">
        <v>770</v>
      </c>
      <c r="E83" t="s">
        <v>731</v>
      </c>
      <c r="F83" t="s">
        <v>2120</v>
      </c>
      <c r="G83" t="s">
        <v>2037</v>
      </c>
      <c r="H83" t="s">
        <v>2038</v>
      </c>
    </row>
    <row r="84" spans="4:8" x14ac:dyDescent="0.25">
      <c r="D84" t="s">
        <v>771</v>
      </c>
      <c r="E84" t="s">
        <v>731</v>
      </c>
      <c r="F84" t="s">
        <v>2121</v>
      </c>
      <c r="G84" t="s">
        <v>2037</v>
      </c>
      <c r="H84" t="s">
        <v>2038</v>
      </c>
    </row>
    <row r="85" spans="4:8" x14ac:dyDescent="0.25">
      <c r="D85" t="s">
        <v>772</v>
      </c>
      <c r="E85" t="s">
        <v>731</v>
      </c>
      <c r="F85" t="s">
        <v>2122</v>
      </c>
      <c r="G85" t="s">
        <v>2037</v>
      </c>
      <c r="H85" t="s">
        <v>2038</v>
      </c>
    </row>
    <row r="86" spans="4:8" x14ac:dyDescent="0.25">
      <c r="D86" t="s">
        <v>773</v>
      </c>
      <c r="E86" t="s">
        <v>731</v>
      </c>
      <c r="F86" t="s">
        <v>2123</v>
      </c>
      <c r="G86" t="s">
        <v>2037</v>
      </c>
      <c r="H86" t="s">
        <v>2038</v>
      </c>
    </row>
    <row r="87" spans="4:8" x14ac:dyDescent="0.25">
      <c r="D87" t="s">
        <v>774</v>
      </c>
      <c r="E87" t="s">
        <v>731</v>
      </c>
      <c r="F87" t="s">
        <v>2124</v>
      </c>
      <c r="G87" t="s">
        <v>2037</v>
      </c>
      <c r="H87" t="s">
        <v>2038</v>
      </c>
    </row>
    <row r="88" spans="4:8" x14ac:dyDescent="0.25">
      <c r="D88" t="s">
        <v>775</v>
      </c>
      <c r="E88" t="s">
        <v>731</v>
      </c>
      <c r="F88" t="s">
        <v>2125</v>
      </c>
      <c r="G88" t="s">
        <v>2037</v>
      </c>
      <c r="H88" t="s">
        <v>2038</v>
      </c>
    </row>
    <row r="89" spans="4:8" x14ac:dyDescent="0.25">
      <c r="D89" t="s">
        <v>776</v>
      </c>
      <c r="E89" t="s">
        <v>731</v>
      </c>
      <c r="F89" t="s">
        <v>2126</v>
      </c>
      <c r="G89" t="s">
        <v>2037</v>
      </c>
      <c r="H89" t="s">
        <v>2038</v>
      </c>
    </row>
    <row r="90" spans="4:8" x14ac:dyDescent="0.25">
      <c r="D90" t="s">
        <v>777</v>
      </c>
      <c r="E90" t="s">
        <v>731</v>
      </c>
      <c r="F90" t="s">
        <v>2127</v>
      </c>
      <c r="G90" t="s">
        <v>2037</v>
      </c>
      <c r="H90" t="s">
        <v>2038</v>
      </c>
    </row>
    <row r="91" spans="4:8" x14ac:dyDescent="0.25">
      <c r="D91" t="s">
        <v>778</v>
      </c>
      <c r="E91" t="s">
        <v>731</v>
      </c>
      <c r="F91" t="s">
        <v>2128</v>
      </c>
      <c r="G91" t="s">
        <v>2037</v>
      </c>
      <c r="H91" t="s">
        <v>2038</v>
      </c>
    </row>
    <row r="92" spans="4:8" x14ac:dyDescent="0.25">
      <c r="D92" t="s">
        <v>779</v>
      </c>
      <c r="E92" t="s">
        <v>731</v>
      </c>
      <c r="F92" t="s">
        <v>2129</v>
      </c>
      <c r="G92" t="s">
        <v>2037</v>
      </c>
      <c r="H92" t="s">
        <v>2038</v>
      </c>
    </row>
    <row r="93" spans="4:8" x14ac:dyDescent="0.25">
      <c r="D93" t="s">
        <v>780</v>
      </c>
      <c r="E93" t="s">
        <v>731</v>
      </c>
      <c r="F93" t="s">
        <v>2130</v>
      </c>
      <c r="G93" t="s">
        <v>2037</v>
      </c>
      <c r="H93" t="s">
        <v>2038</v>
      </c>
    </row>
    <row r="94" spans="4:8" x14ac:dyDescent="0.25">
      <c r="D94" t="s">
        <v>781</v>
      </c>
      <c r="E94" t="s">
        <v>731</v>
      </c>
      <c r="F94" t="s">
        <v>2131</v>
      </c>
      <c r="G94" t="s">
        <v>2037</v>
      </c>
      <c r="H94" t="s">
        <v>2038</v>
      </c>
    </row>
    <row r="95" spans="4:8" x14ac:dyDescent="0.25">
      <c r="D95" t="s">
        <v>782</v>
      </c>
      <c r="E95" t="s">
        <v>731</v>
      </c>
      <c r="F95" t="s">
        <v>2132</v>
      </c>
      <c r="G95" t="s">
        <v>2037</v>
      </c>
      <c r="H95" t="s">
        <v>2038</v>
      </c>
    </row>
    <row r="96" spans="4:8" x14ac:dyDescent="0.25">
      <c r="D96" t="s">
        <v>783</v>
      </c>
      <c r="E96" t="s">
        <v>731</v>
      </c>
      <c r="F96" t="s">
        <v>2133</v>
      </c>
      <c r="G96" t="s">
        <v>2037</v>
      </c>
      <c r="H96" t="s">
        <v>2038</v>
      </c>
    </row>
    <row r="97" spans="4:8" x14ac:dyDescent="0.25">
      <c r="D97" t="s">
        <v>784</v>
      </c>
      <c r="E97" t="s">
        <v>731</v>
      </c>
      <c r="F97" t="s">
        <v>2134</v>
      </c>
      <c r="G97" t="s">
        <v>2037</v>
      </c>
      <c r="H97" t="s">
        <v>2038</v>
      </c>
    </row>
    <row r="98" spans="4:8" x14ac:dyDescent="0.25">
      <c r="D98" t="s">
        <v>785</v>
      </c>
      <c r="E98" t="s">
        <v>731</v>
      </c>
      <c r="F98" t="s">
        <v>2135</v>
      </c>
      <c r="G98" t="s">
        <v>2037</v>
      </c>
      <c r="H98" t="s">
        <v>2038</v>
      </c>
    </row>
    <row r="99" spans="4:8" x14ac:dyDescent="0.25">
      <c r="D99" t="s">
        <v>786</v>
      </c>
      <c r="E99" t="s">
        <v>731</v>
      </c>
      <c r="F99" t="s">
        <v>2136</v>
      </c>
      <c r="G99" t="s">
        <v>2037</v>
      </c>
      <c r="H99" t="s">
        <v>2038</v>
      </c>
    </row>
    <row r="100" spans="4:8" x14ac:dyDescent="0.25">
      <c r="D100" t="s">
        <v>787</v>
      </c>
      <c r="E100" t="s">
        <v>731</v>
      </c>
      <c r="F100" t="s">
        <v>2137</v>
      </c>
      <c r="G100" t="s">
        <v>2037</v>
      </c>
      <c r="H100" t="s">
        <v>2038</v>
      </c>
    </row>
    <row r="101" spans="4:8" x14ac:dyDescent="0.25">
      <c r="D101" t="s">
        <v>788</v>
      </c>
      <c r="E101" t="s">
        <v>731</v>
      </c>
      <c r="F101" t="s">
        <v>2138</v>
      </c>
      <c r="G101" t="s">
        <v>2037</v>
      </c>
      <c r="H101" t="s">
        <v>2038</v>
      </c>
    </row>
    <row r="102" spans="4:8" x14ac:dyDescent="0.25">
      <c r="D102" t="s">
        <v>789</v>
      </c>
      <c r="E102" t="s">
        <v>731</v>
      </c>
      <c r="F102" t="s">
        <v>2139</v>
      </c>
      <c r="G102" t="s">
        <v>2037</v>
      </c>
      <c r="H102" t="s">
        <v>2038</v>
      </c>
    </row>
    <row r="103" spans="4:8" x14ac:dyDescent="0.25">
      <c r="D103" t="s">
        <v>790</v>
      </c>
      <c r="E103" t="s">
        <v>731</v>
      </c>
      <c r="F103" t="s">
        <v>2140</v>
      </c>
      <c r="G103" t="s">
        <v>2037</v>
      </c>
      <c r="H103" t="s">
        <v>2038</v>
      </c>
    </row>
    <row r="104" spans="4:8" x14ac:dyDescent="0.25">
      <c r="D104" t="s">
        <v>791</v>
      </c>
      <c r="E104" t="s">
        <v>731</v>
      </c>
      <c r="F104" t="s">
        <v>2141</v>
      </c>
      <c r="G104" t="s">
        <v>2037</v>
      </c>
      <c r="H104" t="s">
        <v>2038</v>
      </c>
    </row>
    <row r="105" spans="4:8" x14ac:dyDescent="0.25">
      <c r="D105" t="s">
        <v>792</v>
      </c>
      <c r="E105" t="s">
        <v>731</v>
      </c>
      <c r="F105" t="s">
        <v>2142</v>
      </c>
      <c r="G105" t="s">
        <v>2037</v>
      </c>
      <c r="H105" t="s">
        <v>2038</v>
      </c>
    </row>
    <row r="106" spans="4:8" x14ac:dyDescent="0.25">
      <c r="D106" t="s">
        <v>793</v>
      </c>
      <c r="E106" t="s">
        <v>731</v>
      </c>
      <c r="F106" t="s">
        <v>2143</v>
      </c>
      <c r="G106" t="s">
        <v>2037</v>
      </c>
      <c r="H106" t="s">
        <v>2038</v>
      </c>
    </row>
    <row r="107" spans="4:8" x14ac:dyDescent="0.25">
      <c r="D107" t="s">
        <v>794</v>
      </c>
      <c r="E107" t="s">
        <v>731</v>
      </c>
      <c r="F107" t="s">
        <v>2144</v>
      </c>
      <c r="G107" t="s">
        <v>2037</v>
      </c>
      <c r="H107" t="s">
        <v>2038</v>
      </c>
    </row>
    <row r="108" spans="4:8" x14ac:dyDescent="0.25">
      <c r="D108" t="s">
        <v>795</v>
      </c>
      <c r="E108" t="s">
        <v>731</v>
      </c>
      <c r="F108" t="s">
        <v>2145</v>
      </c>
      <c r="G108" t="s">
        <v>2037</v>
      </c>
      <c r="H108" t="s">
        <v>2038</v>
      </c>
    </row>
    <row r="109" spans="4:8" x14ac:dyDescent="0.25">
      <c r="D109" t="s">
        <v>794</v>
      </c>
      <c r="E109" t="s">
        <v>731</v>
      </c>
      <c r="F109" t="s">
        <v>2146</v>
      </c>
      <c r="G109" t="s">
        <v>2037</v>
      </c>
      <c r="H109" t="s">
        <v>2038</v>
      </c>
    </row>
    <row r="110" spans="4:8" x14ac:dyDescent="0.25">
      <c r="D110" t="s">
        <v>795</v>
      </c>
      <c r="E110" t="s">
        <v>731</v>
      </c>
      <c r="F110" t="s">
        <v>2147</v>
      </c>
      <c r="G110" t="s">
        <v>2037</v>
      </c>
      <c r="H110" t="s">
        <v>2038</v>
      </c>
    </row>
    <row r="111" spans="4:8" x14ac:dyDescent="0.25">
      <c r="D111" t="s">
        <v>796</v>
      </c>
      <c r="E111" t="s">
        <v>731</v>
      </c>
      <c r="F111" t="s">
        <v>2148</v>
      </c>
      <c r="G111" t="s">
        <v>2037</v>
      </c>
      <c r="H111" t="s">
        <v>2038</v>
      </c>
    </row>
    <row r="112" spans="4:8" x14ac:dyDescent="0.25">
      <c r="D112" t="s">
        <v>797</v>
      </c>
      <c r="E112" t="s">
        <v>731</v>
      </c>
      <c r="F112" t="s">
        <v>2149</v>
      </c>
      <c r="G112" t="s">
        <v>2037</v>
      </c>
      <c r="H112" t="s">
        <v>2038</v>
      </c>
    </row>
    <row r="113" spans="4:8" x14ac:dyDescent="0.25">
      <c r="D113" t="s">
        <v>797</v>
      </c>
      <c r="E113" t="s">
        <v>731</v>
      </c>
      <c r="F113" t="s">
        <v>2150</v>
      </c>
      <c r="G113" t="s">
        <v>2037</v>
      </c>
      <c r="H113" t="s">
        <v>2038</v>
      </c>
    </row>
    <row r="114" spans="4:8" x14ac:dyDescent="0.25">
      <c r="D114" t="s">
        <v>797</v>
      </c>
      <c r="E114" t="s">
        <v>731</v>
      </c>
      <c r="F114" t="s">
        <v>2151</v>
      </c>
      <c r="G114" t="s">
        <v>2037</v>
      </c>
      <c r="H114" t="s">
        <v>2038</v>
      </c>
    </row>
    <row r="115" spans="4:8" x14ac:dyDescent="0.25">
      <c r="D115" t="s">
        <v>798</v>
      </c>
      <c r="E115" t="s">
        <v>731</v>
      </c>
      <c r="F115" t="s">
        <v>2152</v>
      </c>
      <c r="G115" t="s">
        <v>2037</v>
      </c>
      <c r="H115" t="s">
        <v>2038</v>
      </c>
    </row>
    <row r="116" spans="4:8" x14ac:dyDescent="0.25">
      <c r="D116" t="s">
        <v>793</v>
      </c>
      <c r="E116" t="s">
        <v>731</v>
      </c>
      <c r="F116" t="s">
        <v>2153</v>
      </c>
      <c r="G116" t="s">
        <v>2037</v>
      </c>
      <c r="H116" t="s">
        <v>2038</v>
      </c>
    </row>
    <row r="117" spans="4:8" x14ac:dyDescent="0.25">
      <c r="D117" t="s">
        <v>798</v>
      </c>
      <c r="E117" t="s">
        <v>731</v>
      </c>
      <c r="F117" t="s">
        <v>2154</v>
      </c>
      <c r="G117" t="s">
        <v>2037</v>
      </c>
      <c r="H117" t="s">
        <v>2038</v>
      </c>
    </row>
    <row r="118" spans="4:8" x14ac:dyDescent="0.25">
      <c r="D118" t="s">
        <v>799</v>
      </c>
      <c r="E118" t="s">
        <v>731</v>
      </c>
      <c r="F118" t="s">
        <v>2155</v>
      </c>
      <c r="G118" t="s">
        <v>2037</v>
      </c>
      <c r="H118" t="s">
        <v>2038</v>
      </c>
    </row>
    <row r="119" spans="4:8" x14ac:dyDescent="0.25">
      <c r="D119" t="s">
        <v>800</v>
      </c>
      <c r="E119" t="s">
        <v>731</v>
      </c>
      <c r="F119" t="s">
        <v>2156</v>
      </c>
      <c r="G119" t="s">
        <v>2037</v>
      </c>
      <c r="H119" t="s">
        <v>2038</v>
      </c>
    </row>
    <row r="120" spans="4:8" x14ac:dyDescent="0.25">
      <c r="D120" t="s">
        <v>800</v>
      </c>
      <c r="E120" t="s">
        <v>731</v>
      </c>
      <c r="F120" t="s">
        <v>2157</v>
      </c>
      <c r="G120" t="s">
        <v>2037</v>
      </c>
      <c r="H120" t="s">
        <v>2038</v>
      </c>
    </row>
    <row r="121" spans="4:8" x14ac:dyDescent="0.25">
      <c r="D121" t="s">
        <v>800</v>
      </c>
      <c r="E121" t="s">
        <v>731</v>
      </c>
      <c r="F121" t="s">
        <v>2158</v>
      </c>
      <c r="G121" t="s">
        <v>2037</v>
      </c>
      <c r="H121" t="s">
        <v>2038</v>
      </c>
    </row>
    <row r="122" spans="4:8" x14ac:dyDescent="0.25">
      <c r="D122" t="s">
        <v>801</v>
      </c>
      <c r="E122" t="s">
        <v>731</v>
      </c>
      <c r="F122" t="s">
        <v>2159</v>
      </c>
      <c r="G122" t="s">
        <v>2037</v>
      </c>
      <c r="H122" t="s">
        <v>2038</v>
      </c>
    </row>
    <row r="123" spans="4:8" x14ac:dyDescent="0.25">
      <c r="D123" t="s">
        <v>802</v>
      </c>
      <c r="E123" t="s">
        <v>731</v>
      </c>
      <c r="F123" t="s">
        <v>2160</v>
      </c>
      <c r="G123" t="s">
        <v>2037</v>
      </c>
      <c r="H123" t="s">
        <v>2038</v>
      </c>
    </row>
    <row r="124" spans="4:8" x14ac:dyDescent="0.25">
      <c r="D124" t="s">
        <v>803</v>
      </c>
      <c r="E124" t="s">
        <v>731</v>
      </c>
      <c r="F124" t="s">
        <v>2161</v>
      </c>
      <c r="G124" t="s">
        <v>2037</v>
      </c>
      <c r="H124" t="s">
        <v>2038</v>
      </c>
    </row>
    <row r="125" spans="4:8" x14ac:dyDescent="0.25">
      <c r="D125" t="s">
        <v>804</v>
      </c>
      <c r="E125" t="s">
        <v>731</v>
      </c>
      <c r="F125" t="s">
        <v>2162</v>
      </c>
      <c r="G125" t="s">
        <v>2037</v>
      </c>
      <c r="H125" t="s">
        <v>2038</v>
      </c>
    </row>
    <row r="126" spans="4:8" x14ac:dyDescent="0.25">
      <c r="D126" t="s">
        <v>805</v>
      </c>
      <c r="E126" t="s">
        <v>731</v>
      </c>
      <c r="F126" t="s">
        <v>2163</v>
      </c>
      <c r="G126" t="s">
        <v>2037</v>
      </c>
      <c r="H126" t="s">
        <v>2038</v>
      </c>
    </row>
    <row r="127" spans="4:8" x14ac:dyDescent="0.25">
      <c r="D127" t="s">
        <v>806</v>
      </c>
      <c r="E127" t="s">
        <v>731</v>
      </c>
      <c r="F127" t="s">
        <v>2164</v>
      </c>
      <c r="G127" t="s">
        <v>2037</v>
      </c>
      <c r="H127" t="s">
        <v>2038</v>
      </c>
    </row>
    <row r="128" spans="4:8" x14ac:dyDescent="0.25">
      <c r="D128" t="s">
        <v>807</v>
      </c>
      <c r="E128" t="s">
        <v>731</v>
      </c>
      <c r="F128" t="s">
        <v>2165</v>
      </c>
      <c r="G128" t="s">
        <v>2037</v>
      </c>
      <c r="H128" t="s">
        <v>2038</v>
      </c>
    </row>
    <row r="129" spans="4:8" x14ac:dyDescent="0.25">
      <c r="D129" t="s">
        <v>808</v>
      </c>
      <c r="E129" t="s">
        <v>731</v>
      </c>
      <c r="F129" t="s">
        <v>2166</v>
      </c>
      <c r="G129" t="s">
        <v>2037</v>
      </c>
      <c r="H129" t="s">
        <v>2038</v>
      </c>
    </row>
    <row r="130" spans="4:8" x14ac:dyDescent="0.25">
      <c r="D130" t="s">
        <v>809</v>
      </c>
      <c r="E130" t="s">
        <v>731</v>
      </c>
      <c r="F130" t="s">
        <v>2167</v>
      </c>
      <c r="G130" t="s">
        <v>2037</v>
      </c>
      <c r="H130" t="s">
        <v>2038</v>
      </c>
    </row>
    <row r="131" spans="4:8" x14ac:dyDescent="0.25">
      <c r="D131" t="s">
        <v>810</v>
      </c>
      <c r="E131" t="s">
        <v>731</v>
      </c>
      <c r="F131" t="s">
        <v>2168</v>
      </c>
      <c r="G131" t="s">
        <v>2037</v>
      </c>
      <c r="H131" t="s">
        <v>2038</v>
      </c>
    </row>
    <row r="132" spans="4:8" x14ac:dyDescent="0.25">
      <c r="D132" t="s">
        <v>811</v>
      </c>
      <c r="E132" t="s">
        <v>731</v>
      </c>
      <c r="F132" t="s">
        <v>2169</v>
      </c>
      <c r="G132" t="s">
        <v>2037</v>
      </c>
      <c r="H132" t="s">
        <v>2038</v>
      </c>
    </row>
    <row r="133" spans="4:8" x14ac:dyDescent="0.25">
      <c r="D133" t="s">
        <v>812</v>
      </c>
      <c r="E133" t="s">
        <v>731</v>
      </c>
      <c r="F133" t="s">
        <v>2170</v>
      </c>
      <c r="G133" t="s">
        <v>2037</v>
      </c>
      <c r="H133" t="s">
        <v>2038</v>
      </c>
    </row>
    <row r="134" spans="4:8" x14ac:dyDescent="0.25">
      <c r="D134" t="s">
        <v>813</v>
      </c>
      <c r="E134" t="s">
        <v>731</v>
      </c>
      <c r="F134" t="s">
        <v>2171</v>
      </c>
      <c r="G134" t="s">
        <v>2037</v>
      </c>
      <c r="H134" t="s">
        <v>2038</v>
      </c>
    </row>
    <row r="135" spans="4:8" x14ac:dyDescent="0.25">
      <c r="D135" t="s">
        <v>814</v>
      </c>
      <c r="E135" t="s">
        <v>731</v>
      </c>
      <c r="F135" t="s">
        <v>2172</v>
      </c>
      <c r="G135" t="s">
        <v>2037</v>
      </c>
      <c r="H135" t="s">
        <v>2038</v>
      </c>
    </row>
    <row r="136" spans="4:8" x14ac:dyDescent="0.25">
      <c r="D136" t="s">
        <v>815</v>
      </c>
      <c r="E136" t="s">
        <v>731</v>
      </c>
      <c r="F136" t="s">
        <v>2173</v>
      </c>
      <c r="G136" t="s">
        <v>2037</v>
      </c>
      <c r="H136" t="s">
        <v>2038</v>
      </c>
    </row>
    <row r="137" spans="4:8" x14ac:dyDescent="0.25">
      <c r="D137" t="s">
        <v>816</v>
      </c>
      <c r="E137" t="s">
        <v>731</v>
      </c>
      <c r="F137" t="s">
        <v>2174</v>
      </c>
      <c r="G137" t="s">
        <v>2037</v>
      </c>
      <c r="H137" t="s">
        <v>2038</v>
      </c>
    </row>
    <row r="138" spans="4:8" x14ac:dyDescent="0.25">
      <c r="D138" t="s">
        <v>817</v>
      </c>
      <c r="E138" t="s">
        <v>731</v>
      </c>
      <c r="F138" t="s">
        <v>2175</v>
      </c>
      <c r="G138" t="s">
        <v>2037</v>
      </c>
      <c r="H138" t="s">
        <v>2038</v>
      </c>
    </row>
    <row r="139" spans="4:8" x14ac:dyDescent="0.25">
      <c r="D139" t="s">
        <v>818</v>
      </c>
      <c r="E139" t="s">
        <v>731</v>
      </c>
      <c r="F139" t="s">
        <v>2176</v>
      </c>
      <c r="G139" t="s">
        <v>2037</v>
      </c>
      <c r="H139" t="s">
        <v>2038</v>
      </c>
    </row>
    <row r="140" spans="4:8" x14ac:dyDescent="0.25">
      <c r="D140" t="s">
        <v>819</v>
      </c>
      <c r="E140" t="s">
        <v>731</v>
      </c>
      <c r="F140" t="s">
        <v>2177</v>
      </c>
      <c r="G140" t="s">
        <v>2037</v>
      </c>
      <c r="H140" t="s">
        <v>2038</v>
      </c>
    </row>
    <row r="141" spans="4:8" x14ac:dyDescent="0.25">
      <c r="D141" t="s">
        <v>820</v>
      </c>
      <c r="E141" t="s">
        <v>731</v>
      </c>
      <c r="F141" t="s">
        <v>2178</v>
      </c>
      <c r="G141" t="s">
        <v>2037</v>
      </c>
      <c r="H141" t="s">
        <v>2038</v>
      </c>
    </row>
    <row r="142" spans="4:8" x14ac:dyDescent="0.25">
      <c r="D142" t="s">
        <v>821</v>
      </c>
      <c r="E142" t="s">
        <v>731</v>
      </c>
      <c r="F142" t="s">
        <v>2179</v>
      </c>
      <c r="G142" t="s">
        <v>2037</v>
      </c>
      <c r="H142" t="s">
        <v>2038</v>
      </c>
    </row>
    <row r="143" spans="4:8" x14ac:dyDescent="0.25">
      <c r="D143" t="s">
        <v>822</v>
      </c>
      <c r="E143" t="s">
        <v>731</v>
      </c>
      <c r="F143" t="s">
        <v>2180</v>
      </c>
      <c r="G143" t="s">
        <v>2037</v>
      </c>
      <c r="H143" t="s">
        <v>2038</v>
      </c>
    </row>
    <row r="144" spans="4:8" x14ac:dyDescent="0.25">
      <c r="D144" t="s">
        <v>823</v>
      </c>
      <c r="E144" t="s">
        <v>731</v>
      </c>
      <c r="F144" t="s">
        <v>2181</v>
      </c>
      <c r="G144" t="s">
        <v>2037</v>
      </c>
      <c r="H144" t="s">
        <v>2038</v>
      </c>
    </row>
    <row r="145" spans="4:8" x14ac:dyDescent="0.25">
      <c r="D145" t="s">
        <v>824</v>
      </c>
      <c r="E145" t="s">
        <v>731</v>
      </c>
      <c r="F145" t="s">
        <v>2182</v>
      </c>
      <c r="G145" t="s">
        <v>2037</v>
      </c>
      <c r="H145" t="s">
        <v>2038</v>
      </c>
    </row>
    <row r="146" spans="4:8" x14ac:dyDescent="0.25">
      <c r="D146" t="s">
        <v>824</v>
      </c>
      <c r="E146" t="s">
        <v>731</v>
      </c>
      <c r="F146" t="s">
        <v>2183</v>
      </c>
      <c r="G146" t="s">
        <v>2037</v>
      </c>
      <c r="H146" t="s">
        <v>2038</v>
      </c>
    </row>
    <row r="147" spans="4:8" x14ac:dyDescent="0.25">
      <c r="D147" t="s">
        <v>825</v>
      </c>
      <c r="E147" t="s">
        <v>731</v>
      </c>
      <c r="F147" t="s">
        <v>2184</v>
      </c>
      <c r="G147" t="s">
        <v>2037</v>
      </c>
      <c r="H147" t="s">
        <v>2038</v>
      </c>
    </row>
    <row r="148" spans="4:8" x14ac:dyDescent="0.25">
      <c r="D148" t="s">
        <v>826</v>
      </c>
      <c r="E148" t="s">
        <v>731</v>
      </c>
      <c r="F148" t="s">
        <v>2185</v>
      </c>
      <c r="G148" t="s">
        <v>2037</v>
      </c>
      <c r="H148" t="s">
        <v>2038</v>
      </c>
    </row>
    <row r="149" spans="4:8" x14ac:dyDescent="0.25">
      <c r="D149" t="s">
        <v>827</v>
      </c>
      <c r="E149" t="s">
        <v>731</v>
      </c>
      <c r="F149" t="s">
        <v>2186</v>
      </c>
      <c r="G149" t="s">
        <v>2037</v>
      </c>
      <c r="H149" t="s">
        <v>2038</v>
      </c>
    </row>
    <row r="150" spans="4:8" x14ac:dyDescent="0.25">
      <c r="D150" t="s">
        <v>750</v>
      </c>
      <c r="E150" t="s">
        <v>731</v>
      </c>
      <c r="F150" t="s">
        <v>2187</v>
      </c>
      <c r="G150" t="s">
        <v>2037</v>
      </c>
      <c r="H150" t="s">
        <v>2038</v>
      </c>
    </row>
    <row r="151" spans="4:8" x14ac:dyDescent="0.25">
      <c r="D151" t="s">
        <v>749</v>
      </c>
      <c r="E151" t="s">
        <v>731</v>
      </c>
      <c r="F151" t="s">
        <v>2188</v>
      </c>
      <c r="G151" t="s">
        <v>2037</v>
      </c>
      <c r="H151" t="s">
        <v>2038</v>
      </c>
    </row>
    <row r="152" spans="4:8" x14ac:dyDescent="0.25">
      <c r="D152" t="s">
        <v>748</v>
      </c>
      <c r="E152" t="s">
        <v>731</v>
      </c>
      <c r="F152" t="s">
        <v>2189</v>
      </c>
      <c r="G152" t="s">
        <v>2037</v>
      </c>
      <c r="H152" t="s">
        <v>2038</v>
      </c>
    </row>
    <row r="153" spans="4:8" x14ac:dyDescent="0.25">
      <c r="D153" t="s">
        <v>747</v>
      </c>
      <c r="E153" t="s">
        <v>731</v>
      </c>
      <c r="F153" t="s">
        <v>2190</v>
      </c>
      <c r="G153" t="s">
        <v>2037</v>
      </c>
      <c r="H153" t="s">
        <v>2038</v>
      </c>
    </row>
    <row r="154" spans="4:8" x14ac:dyDescent="0.25">
      <c r="D154" t="s">
        <v>825</v>
      </c>
      <c r="E154" t="s">
        <v>731</v>
      </c>
      <c r="F154" t="s">
        <v>2191</v>
      </c>
      <c r="G154" t="s">
        <v>2037</v>
      </c>
      <c r="H154" t="s">
        <v>2038</v>
      </c>
    </row>
    <row r="155" spans="4:8" x14ac:dyDescent="0.25">
      <c r="D155" t="s">
        <v>826</v>
      </c>
      <c r="E155" t="s">
        <v>731</v>
      </c>
      <c r="F155" t="s">
        <v>2192</v>
      </c>
      <c r="G155" t="s">
        <v>2037</v>
      </c>
      <c r="H155" t="s">
        <v>2038</v>
      </c>
    </row>
    <row r="156" spans="4:8" x14ac:dyDescent="0.25">
      <c r="D156" t="s">
        <v>827</v>
      </c>
      <c r="E156" t="s">
        <v>731</v>
      </c>
      <c r="F156" t="s">
        <v>2193</v>
      </c>
      <c r="G156" t="s">
        <v>2037</v>
      </c>
      <c r="H156" t="s">
        <v>2038</v>
      </c>
    </row>
    <row r="157" spans="4:8" x14ac:dyDescent="0.25">
      <c r="D157" t="s">
        <v>759</v>
      </c>
      <c r="E157" t="s">
        <v>731</v>
      </c>
      <c r="F157" t="s">
        <v>2194</v>
      </c>
      <c r="G157" t="s">
        <v>2037</v>
      </c>
      <c r="H157" t="s">
        <v>2038</v>
      </c>
    </row>
    <row r="158" spans="4:8" x14ac:dyDescent="0.25">
      <c r="D158" t="s">
        <v>760</v>
      </c>
      <c r="E158" t="s">
        <v>731</v>
      </c>
      <c r="F158" t="s">
        <v>2195</v>
      </c>
      <c r="G158" t="s">
        <v>2037</v>
      </c>
      <c r="H158" t="s">
        <v>2038</v>
      </c>
    </row>
    <row r="159" spans="4:8" x14ac:dyDescent="0.25">
      <c r="D159" t="s">
        <v>761</v>
      </c>
      <c r="E159" t="s">
        <v>731</v>
      </c>
      <c r="F159" t="s">
        <v>2196</v>
      </c>
      <c r="G159" t="s">
        <v>2037</v>
      </c>
      <c r="H159" t="s">
        <v>2038</v>
      </c>
    </row>
    <row r="160" spans="4:8" x14ac:dyDescent="0.25">
      <c r="D160" t="s">
        <v>762</v>
      </c>
      <c r="E160" t="s">
        <v>731</v>
      </c>
      <c r="F160" t="s">
        <v>2197</v>
      </c>
      <c r="G160" t="s">
        <v>2037</v>
      </c>
      <c r="H160" t="s">
        <v>2038</v>
      </c>
    </row>
    <row r="161" spans="4:8" x14ac:dyDescent="0.25">
      <c r="D161" t="s">
        <v>735</v>
      </c>
      <c r="E161" t="s">
        <v>731</v>
      </c>
      <c r="F161" t="s">
        <v>2198</v>
      </c>
      <c r="G161" t="s">
        <v>2037</v>
      </c>
      <c r="H161" t="s">
        <v>2038</v>
      </c>
    </row>
    <row r="162" spans="4:8" x14ac:dyDescent="0.25">
      <c r="D162" t="s">
        <v>736</v>
      </c>
      <c r="E162" t="s">
        <v>731</v>
      </c>
      <c r="F162" t="s">
        <v>2199</v>
      </c>
      <c r="G162" t="s">
        <v>2037</v>
      </c>
      <c r="H162" t="s">
        <v>2038</v>
      </c>
    </row>
    <row r="163" spans="4:8" x14ac:dyDescent="0.25">
      <c r="D163" t="s">
        <v>737</v>
      </c>
      <c r="E163" t="s">
        <v>731</v>
      </c>
      <c r="F163" t="s">
        <v>2200</v>
      </c>
      <c r="G163" t="s">
        <v>2037</v>
      </c>
      <c r="H163" t="s">
        <v>2038</v>
      </c>
    </row>
    <row r="164" spans="4:8" x14ac:dyDescent="0.25">
      <c r="D164" t="s">
        <v>738</v>
      </c>
      <c r="E164" t="s">
        <v>731</v>
      </c>
      <c r="F164" t="s">
        <v>2201</v>
      </c>
      <c r="G164" t="s">
        <v>2037</v>
      </c>
      <c r="H164" t="s">
        <v>2038</v>
      </c>
    </row>
    <row r="165" spans="4:8" x14ac:dyDescent="0.25">
      <c r="D165" t="s">
        <v>734</v>
      </c>
      <c r="E165" t="s">
        <v>731</v>
      </c>
      <c r="F165" t="s">
        <v>2202</v>
      </c>
      <c r="G165" t="s">
        <v>2037</v>
      </c>
      <c r="H165" t="s">
        <v>2038</v>
      </c>
    </row>
    <row r="166" spans="4:8" x14ac:dyDescent="0.25">
      <c r="D166" t="s">
        <v>733</v>
      </c>
      <c r="E166" t="s">
        <v>731</v>
      </c>
      <c r="F166" t="s">
        <v>2203</v>
      </c>
      <c r="G166" t="s">
        <v>2037</v>
      </c>
      <c r="H166" t="s">
        <v>2038</v>
      </c>
    </row>
    <row r="167" spans="4:8" x14ac:dyDescent="0.25">
      <c r="D167" t="s">
        <v>732</v>
      </c>
      <c r="E167" t="s">
        <v>731</v>
      </c>
      <c r="F167" t="s">
        <v>2204</v>
      </c>
      <c r="G167" t="s">
        <v>2037</v>
      </c>
      <c r="H167" t="s">
        <v>2038</v>
      </c>
    </row>
    <row r="168" spans="4:8" x14ac:dyDescent="0.25">
      <c r="D168" t="s">
        <v>730</v>
      </c>
      <c r="E168" t="s">
        <v>731</v>
      </c>
      <c r="F168" t="s">
        <v>2205</v>
      </c>
      <c r="G168" t="s">
        <v>2037</v>
      </c>
      <c r="H168" t="s">
        <v>2038</v>
      </c>
    </row>
    <row r="169" spans="4:8" x14ac:dyDescent="0.25">
      <c r="D169" t="s">
        <v>740</v>
      </c>
      <c r="E169" t="s">
        <v>731</v>
      </c>
      <c r="F169" t="s">
        <v>2206</v>
      </c>
      <c r="G169" t="s">
        <v>2037</v>
      </c>
      <c r="H169" t="s">
        <v>2038</v>
      </c>
    </row>
    <row r="170" spans="4:8" x14ac:dyDescent="0.25">
      <c r="D170" t="s">
        <v>741</v>
      </c>
      <c r="E170" t="s">
        <v>731</v>
      </c>
      <c r="F170" t="s">
        <v>2207</v>
      </c>
      <c r="G170" t="s">
        <v>2037</v>
      </c>
      <c r="H170" t="s">
        <v>2038</v>
      </c>
    </row>
    <row r="171" spans="4:8" x14ac:dyDescent="0.25">
      <c r="D171" t="s">
        <v>742</v>
      </c>
      <c r="E171" t="s">
        <v>731</v>
      </c>
      <c r="F171" t="s">
        <v>2208</v>
      </c>
      <c r="G171" t="s">
        <v>2037</v>
      </c>
      <c r="H171" t="s">
        <v>2038</v>
      </c>
    </row>
    <row r="172" spans="4:8" x14ac:dyDescent="0.25">
      <c r="D172" t="s">
        <v>743</v>
      </c>
      <c r="E172" t="s">
        <v>731</v>
      </c>
      <c r="F172" t="s">
        <v>2209</v>
      </c>
      <c r="G172" t="s">
        <v>2037</v>
      </c>
      <c r="H172" t="s">
        <v>2038</v>
      </c>
    </row>
    <row r="173" spans="4:8" x14ac:dyDescent="0.25">
      <c r="D173" t="s">
        <v>744</v>
      </c>
      <c r="E173" t="s">
        <v>731</v>
      </c>
      <c r="F173" t="s">
        <v>2210</v>
      </c>
      <c r="G173" t="s">
        <v>2037</v>
      </c>
      <c r="H173" t="s">
        <v>2038</v>
      </c>
    </row>
    <row r="174" spans="4:8" x14ac:dyDescent="0.25">
      <c r="D174" t="s">
        <v>745</v>
      </c>
      <c r="E174" t="s">
        <v>731</v>
      </c>
      <c r="F174" t="s">
        <v>2211</v>
      </c>
      <c r="G174" t="s">
        <v>2037</v>
      </c>
      <c r="H174" t="s">
        <v>2038</v>
      </c>
    </row>
    <row r="175" spans="4:8" x14ac:dyDescent="0.25">
      <c r="D175" t="s">
        <v>746</v>
      </c>
      <c r="E175" t="s">
        <v>731</v>
      </c>
      <c r="F175" t="s">
        <v>2212</v>
      </c>
      <c r="G175" t="s">
        <v>2037</v>
      </c>
      <c r="H175" t="s">
        <v>2038</v>
      </c>
    </row>
    <row r="176" spans="4:8" x14ac:dyDescent="0.25">
      <c r="D176" t="s">
        <v>828</v>
      </c>
      <c r="E176" t="s">
        <v>731</v>
      </c>
      <c r="F176" t="s">
        <v>2213</v>
      </c>
      <c r="G176" t="s">
        <v>2037</v>
      </c>
      <c r="H176" t="s">
        <v>2038</v>
      </c>
    </row>
    <row r="177" spans="4:8" x14ac:dyDescent="0.25">
      <c r="D177" t="s">
        <v>829</v>
      </c>
      <c r="E177" t="s">
        <v>731</v>
      </c>
      <c r="F177" t="s">
        <v>2214</v>
      </c>
      <c r="G177" t="s">
        <v>2037</v>
      </c>
      <c r="H177" t="s">
        <v>2038</v>
      </c>
    </row>
    <row r="178" spans="4:8" x14ac:dyDescent="0.25">
      <c r="D178" t="s">
        <v>829</v>
      </c>
      <c r="E178" t="s">
        <v>731</v>
      </c>
      <c r="F178" t="s">
        <v>2215</v>
      </c>
      <c r="G178" t="s">
        <v>2037</v>
      </c>
      <c r="H178" t="s">
        <v>2038</v>
      </c>
    </row>
    <row r="179" spans="4:8" x14ac:dyDescent="0.25">
      <c r="D179" t="s">
        <v>829</v>
      </c>
      <c r="E179" t="s">
        <v>731</v>
      </c>
      <c r="F179" t="s">
        <v>2216</v>
      </c>
      <c r="G179" t="s">
        <v>2037</v>
      </c>
      <c r="H179" t="s">
        <v>2038</v>
      </c>
    </row>
    <row r="180" spans="4:8" x14ac:dyDescent="0.25">
      <c r="D180" t="s">
        <v>830</v>
      </c>
      <c r="E180" t="s">
        <v>731</v>
      </c>
      <c r="F180" t="s">
        <v>2217</v>
      </c>
      <c r="G180" t="s">
        <v>2037</v>
      </c>
      <c r="H180" t="s">
        <v>2038</v>
      </c>
    </row>
    <row r="181" spans="4:8" x14ac:dyDescent="0.25">
      <c r="D181" t="s">
        <v>831</v>
      </c>
      <c r="E181" t="s">
        <v>731</v>
      </c>
      <c r="F181" t="s">
        <v>2218</v>
      </c>
      <c r="G181" t="s">
        <v>2037</v>
      </c>
      <c r="H181" t="s">
        <v>2038</v>
      </c>
    </row>
    <row r="182" spans="4:8" x14ac:dyDescent="0.25">
      <c r="D182" t="s">
        <v>831</v>
      </c>
      <c r="E182" t="s">
        <v>731</v>
      </c>
      <c r="F182" t="s">
        <v>2219</v>
      </c>
      <c r="G182" t="s">
        <v>2037</v>
      </c>
      <c r="H182" t="s">
        <v>2038</v>
      </c>
    </row>
    <row r="183" spans="4:8" x14ac:dyDescent="0.25">
      <c r="D183" t="s">
        <v>831</v>
      </c>
      <c r="E183" t="s">
        <v>731</v>
      </c>
      <c r="F183" t="s">
        <v>2220</v>
      </c>
      <c r="G183" t="s">
        <v>2037</v>
      </c>
      <c r="H183" t="s">
        <v>2038</v>
      </c>
    </row>
    <row r="184" spans="4:8" x14ac:dyDescent="0.25">
      <c r="D184" t="s">
        <v>832</v>
      </c>
      <c r="E184" t="s">
        <v>731</v>
      </c>
      <c r="F184" t="s">
        <v>2221</v>
      </c>
      <c r="G184" t="s">
        <v>2037</v>
      </c>
      <c r="H184" t="s">
        <v>2038</v>
      </c>
    </row>
    <row r="185" spans="4:8" x14ac:dyDescent="0.25">
      <c r="D185" t="s">
        <v>833</v>
      </c>
      <c r="E185" t="s">
        <v>731</v>
      </c>
      <c r="F185" t="s">
        <v>2222</v>
      </c>
      <c r="G185" t="s">
        <v>2037</v>
      </c>
      <c r="H185" t="s">
        <v>2038</v>
      </c>
    </row>
    <row r="186" spans="4:8" x14ac:dyDescent="0.25">
      <c r="D186" t="s">
        <v>833</v>
      </c>
      <c r="E186" t="s">
        <v>731</v>
      </c>
      <c r="F186" t="s">
        <v>2223</v>
      </c>
      <c r="G186" t="s">
        <v>2037</v>
      </c>
      <c r="H186" t="s">
        <v>2038</v>
      </c>
    </row>
    <row r="187" spans="4:8" x14ac:dyDescent="0.25">
      <c r="D187" t="s">
        <v>833</v>
      </c>
      <c r="E187" t="s">
        <v>731</v>
      </c>
      <c r="F187" t="s">
        <v>2224</v>
      </c>
      <c r="G187" t="s">
        <v>2037</v>
      </c>
      <c r="H187" t="s">
        <v>2038</v>
      </c>
    </row>
    <row r="188" spans="4:8" x14ac:dyDescent="0.25">
      <c r="D188" t="s">
        <v>834</v>
      </c>
      <c r="E188" t="s">
        <v>731</v>
      </c>
      <c r="F188" t="s">
        <v>2225</v>
      </c>
      <c r="G188" t="s">
        <v>2037</v>
      </c>
      <c r="H188" t="s">
        <v>2038</v>
      </c>
    </row>
    <row r="189" spans="4:8" x14ac:dyDescent="0.25">
      <c r="D189" t="s">
        <v>835</v>
      </c>
      <c r="E189" t="s">
        <v>731</v>
      </c>
      <c r="F189" t="s">
        <v>2226</v>
      </c>
      <c r="G189" t="s">
        <v>2037</v>
      </c>
      <c r="H189" t="s">
        <v>2038</v>
      </c>
    </row>
    <row r="190" spans="4:8" x14ac:dyDescent="0.25">
      <c r="D190" t="s">
        <v>835</v>
      </c>
      <c r="E190" t="s">
        <v>731</v>
      </c>
      <c r="F190" t="s">
        <v>2227</v>
      </c>
      <c r="G190" t="s">
        <v>2037</v>
      </c>
      <c r="H190" t="s">
        <v>2038</v>
      </c>
    </row>
    <row r="191" spans="4:8" x14ac:dyDescent="0.25">
      <c r="D191" t="s">
        <v>835</v>
      </c>
      <c r="E191" t="s">
        <v>731</v>
      </c>
      <c r="F191" t="s">
        <v>2228</v>
      </c>
      <c r="G191" t="s">
        <v>2037</v>
      </c>
      <c r="H191" t="s">
        <v>2038</v>
      </c>
    </row>
    <row r="192" spans="4:8" x14ac:dyDescent="0.25">
      <c r="D192" t="s">
        <v>836</v>
      </c>
      <c r="E192" t="s">
        <v>731</v>
      </c>
      <c r="F192" t="s">
        <v>2229</v>
      </c>
      <c r="G192" t="s">
        <v>2037</v>
      </c>
      <c r="H192" t="s">
        <v>2038</v>
      </c>
    </row>
    <row r="193" spans="4:8" x14ac:dyDescent="0.25">
      <c r="D193" t="s">
        <v>837</v>
      </c>
      <c r="E193" t="s">
        <v>731</v>
      </c>
      <c r="F193" t="s">
        <v>2230</v>
      </c>
      <c r="G193" t="s">
        <v>2037</v>
      </c>
      <c r="H193" t="s">
        <v>2038</v>
      </c>
    </row>
    <row r="194" spans="4:8" x14ac:dyDescent="0.25">
      <c r="D194" t="s">
        <v>837</v>
      </c>
      <c r="E194" t="s">
        <v>731</v>
      </c>
      <c r="F194" t="s">
        <v>2231</v>
      </c>
      <c r="G194" t="s">
        <v>2037</v>
      </c>
      <c r="H194" t="s">
        <v>2038</v>
      </c>
    </row>
    <row r="195" spans="4:8" x14ac:dyDescent="0.25">
      <c r="D195" t="s">
        <v>837</v>
      </c>
      <c r="E195" t="s">
        <v>731</v>
      </c>
      <c r="F195" t="s">
        <v>2232</v>
      </c>
      <c r="G195" t="s">
        <v>2037</v>
      </c>
      <c r="H195" t="s">
        <v>2038</v>
      </c>
    </row>
    <row r="196" spans="4:8" x14ac:dyDescent="0.25">
      <c r="D196" t="s">
        <v>838</v>
      </c>
      <c r="E196" t="s">
        <v>731</v>
      </c>
      <c r="F196" t="s">
        <v>2233</v>
      </c>
      <c r="G196" t="s">
        <v>2037</v>
      </c>
      <c r="H196" t="s">
        <v>2038</v>
      </c>
    </row>
    <row r="197" spans="4:8" x14ac:dyDescent="0.25">
      <c r="D197" t="s">
        <v>839</v>
      </c>
      <c r="E197" t="s">
        <v>731</v>
      </c>
      <c r="F197" t="s">
        <v>2234</v>
      </c>
      <c r="G197" t="s">
        <v>2037</v>
      </c>
      <c r="H197" t="s">
        <v>2038</v>
      </c>
    </row>
    <row r="198" spans="4:8" x14ac:dyDescent="0.25">
      <c r="D198" t="s">
        <v>839</v>
      </c>
      <c r="E198" t="s">
        <v>731</v>
      </c>
      <c r="F198" t="s">
        <v>2235</v>
      </c>
      <c r="G198" t="s">
        <v>2037</v>
      </c>
      <c r="H198" t="s">
        <v>2038</v>
      </c>
    </row>
    <row r="199" spans="4:8" x14ac:dyDescent="0.25">
      <c r="D199" t="s">
        <v>839</v>
      </c>
      <c r="E199" t="s">
        <v>731</v>
      </c>
      <c r="F199" t="s">
        <v>2236</v>
      </c>
      <c r="G199" t="s">
        <v>2037</v>
      </c>
      <c r="H199" t="s">
        <v>2038</v>
      </c>
    </row>
    <row r="200" spans="4:8" x14ac:dyDescent="0.25">
      <c r="D200" t="s">
        <v>840</v>
      </c>
      <c r="E200" t="s">
        <v>731</v>
      </c>
      <c r="F200" t="s">
        <v>2237</v>
      </c>
      <c r="G200" t="s">
        <v>2037</v>
      </c>
      <c r="H200" t="s">
        <v>2038</v>
      </c>
    </row>
    <row r="201" spans="4:8" x14ac:dyDescent="0.25">
      <c r="D201" t="s">
        <v>841</v>
      </c>
      <c r="E201" t="s">
        <v>731</v>
      </c>
      <c r="F201" t="s">
        <v>2238</v>
      </c>
      <c r="G201" t="s">
        <v>2037</v>
      </c>
      <c r="H201" t="s">
        <v>2038</v>
      </c>
    </row>
    <row r="202" spans="4:8" x14ac:dyDescent="0.25">
      <c r="D202" t="s">
        <v>842</v>
      </c>
      <c r="E202" t="s">
        <v>731</v>
      </c>
      <c r="F202" t="s">
        <v>2239</v>
      </c>
      <c r="G202" t="s">
        <v>2037</v>
      </c>
      <c r="H202" t="s">
        <v>2038</v>
      </c>
    </row>
    <row r="203" spans="4:8" x14ac:dyDescent="0.25">
      <c r="D203" t="s">
        <v>843</v>
      </c>
      <c r="E203" t="s">
        <v>731</v>
      </c>
      <c r="F203" t="s">
        <v>2240</v>
      </c>
      <c r="G203" t="s">
        <v>2037</v>
      </c>
      <c r="H203" t="s">
        <v>2038</v>
      </c>
    </row>
    <row r="204" spans="4:8" x14ac:dyDescent="0.25">
      <c r="D204" t="s">
        <v>844</v>
      </c>
      <c r="E204" t="s">
        <v>731</v>
      </c>
      <c r="F204" t="s">
        <v>2241</v>
      </c>
      <c r="G204" t="s">
        <v>2037</v>
      </c>
      <c r="H204" t="s">
        <v>2038</v>
      </c>
    </row>
    <row r="205" spans="4:8" x14ac:dyDescent="0.25">
      <c r="D205" t="s">
        <v>845</v>
      </c>
      <c r="E205" t="s">
        <v>731</v>
      </c>
      <c r="F205" t="s">
        <v>2242</v>
      </c>
      <c r="G205" t="s">
        <v>2037</v>
      </c>
      <c r="H205" t="s">
        <v>2038</v>
      </c>
    </row>
    <row r="206" spans="4:8" x14ac:dyDescent="0.25">
      <c r="D206" t="s">
        <v>846</v>
      </c>
      <c r="E206" t="s">
        <v>731</v>
      </c>
      <c r="F206" t="s">
        <v>2243</v>
      </c>
      <c r="G206" t="s">
        <v>2037</v>
      </c>
      <c r="H206" t="s">
        <v>2038</v>
      </c>
    </row>
    <row r="207" spans="4:8" x14ac:dyDescent="0.25">
      <c r="D207" t="s">
        <v>847</v>
      </c>
      <c r="E207" t="s">
        <v>731</v>
      </c>
      <c r="F207" t="s">
        <v>2244</v>
      </c>
      <c r="G207" t="s">
        <v>2037</v>
      </c>
      <c r="H207" t="s">
        <v>2038</v>
      </c>
    </row>
    <row r="208" spans="4:8" x14ac:dyDescent="0.25">
      <c r="D208" t="s">
        <v>848</v>
      </c>
      <c r="E208" t="s">
        <v>731</v>
      </c>
      <c r="F208" t="s">
        <v>2245</v>
      </c>
      <c r="G208" t="s">
        <v>2037</v>
      </c>
      <c r="H208" t="s">
        <v>2038</v>
      </c>
    </row>
    <row r="209" spans="4:8" x14ac:dyDescent="0.25">
      <c r="D209" t="s">
        <v>849</v>
      </c>
      <c r="E209" t="s">
        <v>731</v>
      </c>
      <c r="F209" t="s">
        <v>2246</v>
      </c>
      <c r="G209" t="s">
        <v>2037</v>
      </c>
      <c r="H209" t="s">
        <v>2038</v>
      </c>
    </row>
    <row r="210" spans="4:8" x14ac:dyDescent="0.25">
      <c r="D210" t="s">
        <v>850</v>
      </c>
      <c r="E210" t="s">
        <v>731</v>
      </c>
      <c r="F210" t="s">
        <v>2247</v>
      </c>
      <c r="G210" t="s">
        <v>2037</v>
      </c>
      <c r="H210" t="s">
        <v>2038</v>
      </c>
    </row>
    <row r="211" spans="4:8" x14ac:dyDescent="0.25">
      <c r="D211" t="s">
        <v>851</v>
      </c>
      <c r="E211" t="s">
        <v>731</v>
      </c>
      <c r="F211" t="s">
        <v>2248</v>
      </c>
      <c r="G211" t="s">
        <v>2037</v>
      </c>
      <c r="H211" t="s">
        <v>2038</v>
      </c>
    </row>
    <row r="212" spans="4:8" x14ac:dyDescent="0.25">
      <c r="D212" t="s">
        <v>852</v>
      </c>
      <c r="E212" t="s">
        <v>731</v>
      </c>
      <c r="F212" t="s">
        <v>2249</v>
      </c>
      <c r="G212" t="s">
        <v>2037</v>
      </c>
      <c r="H212" t="s">
        <v>2038</v>
      </c>
    </row>
    <row r="213" spans="4:8" x14ac:dyDescent="0.25">
      <c r="D213" t="s">
        <v>853</v>
      </c>
      <c r="E213" t="s">
        <v>731</v>
      </c>
      <c r="F213" t="s">
        <v>2250</v>
      </c>
      <c r="G213" t="s">
        <v>2037</v>
      </c>
      <c r="H213" t="s">
        <v>2038</v>
      </c>
    </row>
    <row r="214" spans="4:8" x14ac:dyDescent="0.25">
      <c r="D214" t="s">
        <v>854</v>
      </c>
      <c r="E214" t="s">
        <v>731</v>
      </c>
      <c r="F214" t="s">
        <v>2251</v>
      </c>
      <c r="G214" t="s">
        <v>2037</v>
      </c>
      <c r="H214" t="s">
        <v>2038</v>
      </c>
    </row>
    <row r="215" spans="4:8" x14ac:dyDescent="0.25">
      <c r="D215" t="s">
        <v>855</v>
      </c>
      <c r="E215" t="s">
        <v>731</v>
      </c>
      <c r="F215" t="s">
        <v>2252</v>
      </c>
      <c r="G215" t="s">
        <v>2037</v>
      </c>
      <c r="H215" t="s">
        <v>2038</v>
      </c>
    </row>
    <row r="216" spans="4:8" x14ac:dyDescent="0.25">
      <c r="D216" t="s">
        <v>856</v>
      </c>
      <c r="E216" t="s">
        <v>731</v>
      </c>
      <c r="F216" t="s">
        <v>2253</v>
      </c>
      <c r="G216" t="s">
        <v>2037</v>
      </c>
      <c r="H216" t="s">
        <v>2038</v>
      </c>
    </row>
    <row r="217" spans="4:8" x14ac:dyDescent="0.25">
      <c r="D217" t="s">
        <v>857</v>
      </c>
      <c r="E217" t="s">
        <v>731</v>
      </c>
      <c r="F217" t="s">
        <v>2254</v>
      </c>
      <c r="G217" t="s">
        <v>2037</v>
      </c>
      <c r="H217" t="s">
        <v>2038</v>
      </c>
    </row>
    <row r="218" spans="4:8" x14ac:dyDescent="0.25">
      <c r="D218" t="s">
        <v>858</v>
      </c>
      <c r="E218" t="s">
        <v>731</v>
      </c>
      <c r="F218" t="s">
        <v>2255</v>
      </c>
      <c r="G218" t="s">
        <v>2037</v>
      </c>
      <c r="H218" t="s">
        <v>2038</v>
      </c>
    </row>
    <row r="219" spans="4:8" x14ac:dyDescent="0.25">
      <c r="D219" t="s">
        <v>859</v>
      </c>
      <c r="E219" t="s">
        <v>731</v>
      </c>
      <c r="F219" t="s">
        <v>2256</v>
      </c>
      <c r="G219" t="s">
        <v>2037</v>
      </c>
      <c r="H219" t="s">
        <v>2038</v>
      </c>
    </row>
    <row r="220" spans="4:8" x14ac:dyDescent="0.25">
      <c r="D220" t="s">
        <v>860</v>
      </c>
      <c r="E220" t="s">
        <v>731</v>
      </c>
      <c r="F220" t="s">
        <v>2257</v>
      </c>
      <c r="G220" t="s">
        <v>2037</v>
      </c>
      <c r="H220" t="s">
        <v>2038</v>
      </c>
    </row>
    <row r="221" spans="4:8" x14ac:dyDescent="0.25">
      <c r="D221" t="s">
        <v>861</v>
      </c>
      <c r="E221" t="s">
        <v>731</v>
      </c>
      <c r="F221" t="s">
        <v>2258</v>
      </c>
      <c r="G221" t="s">
        <v>2037</v>
      </c>
      <c r="H221" t="s">
        <v>2038</v>
      </c>
    </row>
    <row r="222" spans="4:8" x14ac:dyDescent="0.25">
      <c r="D222" t="s">
        <v>862</v>
      </c>
      <c r="E222" t="s">
        <v>731</v>
      </c>
      <c r="F222" t="s">
        <v>2259</v>
      </c>
      <c r="G222" t="s">
        <v>2037</v>
      </c>
      <c r="H222" t="s">
        <v>2038</v>
      </c>
    </row>
    <row r="223" spans="4:8" x14ac:dyDescent="0.25">
      <c r="D223" t="s">
        <v>863</v>
      </c>
      <c r="E223" t="s">
        <v>731</v>
      </c>
      <c r="F223" t="s">
        <v>2260</v>
      </c>
      <c r="G223" t="s">
        <v>2037</v>
      </c>
      <c r="H223" t="s">
        <v>2038</v>
      </c>
    </row>
    <row r="224" spans="4:8" x14ac:dyDescent="0.25">
      <c r="D224" t="s">
        <v>864</v>
      </c>
      <c r="E224" t="s">
        <v>731</v>
      </c>
      <c r="F224" t="s">
        <v>2261</v>
      </c>
      <c r="G224" t="s">
        <v>2037</v>
      </c>
      <c r="H224" t="s">
        <v>2038</v>
      </c>
    </row>
    <row r="225" spans="4:8" x14ac:dyDescent="0.25">
      <c r="D225" t="s">
        <v>865</v>
      </c>
      <c r="E225" t="s">
        <v>731</v>
      </c>
      <c r="F225" t="s">
        <v>2262</v>
      </c>
      <c r="G225" t="s">
        <v>2037</v>
      </c>
      <c r="H225" t="s">
        <v>2038</v>
      </c>
    </row>
    <row r="226" spans="4:8" x14ac:dyDescent="0.25">
      <c r="D226" t="s">
        <v>866</v>
      </c>
      <c r="E226" t="s">
        <v>731</v>
      </c>
      <c r="F226" t="s">
        <v>2263</v>
      </c>
      <c r="G226" t="s">
        <v>2037</v>
      </c>
      <c r="H226" t="s">
        <v>2038</v>
      </c>
    </row>
    <row r="227" spans="4:8" x14ac:dyDescent="0.25">
      <c r="D227" t="s">
        <v>867</v>
      </c>
      <c r="E227" t="s">
        <v>731</v>
      </c>
      <c r="F227" t="s">
        <v>2264</v>
      </c>
      <c r="G227" t="s">
        <v>2037</v>
      </c>
      <c r="H227" t="s">
        <v>2038</v>
      </c>
    </row>
    <row r="228" spans="4:8" x14ac:dyDescent="0.25">
      <c r="D228" t="s">
        <v>868</v>
      </c>
      <c r="E228" t="s">
        <v>731</v>
      </c>
      <c r="F228" t="s">
        <v>2265</v>
      </c>
      <c r="G228" t="s">
        <v>2037</v>
      </c>
      <c r="H228" t="s">
        <v>2038</v>
      </c>
    </row>
    <row r="229" spans="4:8" x14ac:dyDescent="0.25">
      <c r="D229" t="s">
        <v>869</v>
      </c>
      <c r="E229" t="s">
        <v>731</v>
      </c>
      <c r="F229" t="s">
        <v>2266</v>
      </c>
      <c r="G229" t="s">
        <v>2037</v>
      </c>
      <c r="H229" t="s">
        <v>2038</v>
      </c>
    </row>
    <row r="230" spans="4:8" x14ac:dyDescent="0.25">
      <c r="D230" t="s">
        <v>870</v>
      </c>
      <c r="E230" t="s">
        <v>731</v>
      </c>
      <c r="F230" t="s">
        <v>2267</v>
      </c>
      <c r="G230" t="s">
        <v>2037</v>
      </c>
      <c r="H230" t="s">
        <v>2038</v>
      </c>
    </row>
    <row r="231" spans="4:8" x14ac:dyDescent="0.25">
      <c r="D231" t="s">
        <v>871</v>
      </c>
      <c r="E231" t="s">
        <v>731</v>
      </c>
      <c r="F231" t="s">
        <v>2268</v>
      </c>
      <c r="G231" t="s">
        <v>2037</v>
      </c>
      <c r="H231" t="s">
        <v>2038</v>
      </c>
    </row>
    <row r="232" spans="4:8" x14ac:dyDescent="0.25">
      <c r="D232" t="s">
        <v>872</v>
      </c>
      <c r="E232" t="s">
        <v>731</v>
      </c>
      <c r="F232" t="s">
        <v>2269</v>
      </c>
      <c r="G232" t="s">
        <v>2037</v>
      </c>
      <c r="H232" t="s">
        <v>2038</v>
      </c>
    </row>
    <row r="233" spans="4:8" x14ac:dyDescent="0.25">
      <c r="D233" t="s">
        <v>873</v>
      </c>
      <c r="E233" t="s">
        <v>731</v>
      </c>
      <c r="F233" t="s">
        <v>2270</v>
      </c>
      <c r="G233" t="s">
        <v>2037</v>
      </c>
      <c r="H233" t="s">
        <v>2038</v>
      </c>
    </row>
    <row r="234" spans="4:8" x14ac:dyDescent="0.25">
      <c r="D234" t="s">
        <v>874</v>
      </c>
      <c r="E234" t="s">
        <v>731</v>
      </c>
      <c r="F234" t="s">
        <v>2271</v>
      </c>
      <c r="G234" t="s">
        <v>2037</v>
      </c>
      <c r="H234" t="s">
        <v>2038</v>
      </c>
    </row>
    <row r="235" spans="4:8" x14ac:dyDescent="0.25">
      <c r="D235" t="s">
        <v>875</v>
      </c>
      <c r="E235" t="s">
        <v>731</v>
      </c>
      <c r="F235" t="s">
        <v>2272</v>
      </c>
      <c r="G235" t="s">
        <v>2037</v>
      </c>
      <c r="H235" t="s">
        <v>2038</v>
      </c>
    </row>
    <row r="236" spans="4:8" x14ac:dyDescent="0.25">
      <c r="D236" t="s">
        <v>876</v>
      </c>
      <c r="E236" t="s">
        <v>731</v>
      </c>
      <c r="F236" t="s">
        <v>2273</v>
      </c>
      <c r="G236" t="s">
        <v>2037</v>
      </c>
      <c r="H236" t="s">
        <v>2038</v>
      </c>
    </row>
    <row r="237" spans="4:8" x14ac:dyDescent="0.25">
      <c r="D237" t="s">
        <v>877</v>
      </c>
      <c r="E237" t="s">
        <v>731</v>
      </c>
      <c r="F237" t="s">
        <v>2274</v>
      </c>
      <c r="G237" t="s">
        <v>2037</v>
      </c>
      <c r="H237" t="s">
        <v>2038</v>
      </c>
    </row>
    <row r="238" spans="4:8" x14ac:dyDescent="0.25">
      <c r="D238" t="s">
        <v>878</v>
      </c>
      <c r="E238" t="s">
        <v>731</v>
      </c>
      <c r="F238" t="s">
        <v>2275</v>
      </c>
      <c r="G238" t="s">
        <v>2037</v>
      </c>
      <c r="H238" t="s">
        <v>2038</v>
      </c>
    </row>
    <row r="239" spans="4:8" x14ac:dyDescent="0.25">
      <c r="D239" t="s">
        <v>879</v>
      </c>
      <c r="E239" t="s">
        <v>731</v>
      </c>
      <c r="F239" t="s">
        <v>2276</v>
      </c>
      <c r="G239" t="s">
        <v>2037</v>
      </c>
      <c r="H239" t="s">
        <v>2038</v>
      </c>
    </row>
    <row r="240" spans="4:8" x14ac:dyDescent="0.25">
      <c r="D240" t="s">
        <v>880</v>
      </c>
      <c r="E240" t="s">
        <v>731</v>
      </c>
      <c r="F240" t="s">
        <v>2277</v>
      </c>
      <c r="G240" t="s">
        <v>2037</v>
      </c>
      <c r="H240" t="s">
        <v>2038</v>
      </c>
    </row>
    <row r="241" spans="4:8" x14ac:dyDescent="0.25">
      <c r="D241" t="s">
        <v>881</v>
      </c>
      <c r="E241" t="s">
        <v>731</v>
      </c>
      <c r="F241" t="s">
        <v>2278</v>
      </c>
      <c r="G241" t="s">
        <v>2037</v>
      </c>
      <c r="H241" t="s">
        <v>2038</v>
      </c>
    </row>
    <row r="242" spans="4:8" x14ac:dyDescent="0.25">
      <c r="D242" t="s">
        <v>882</v>
      </c>
      <c r="E242" t="s">
        <v>731</v>
      </c>
      <c r="F242" t="s">
        <v>2279</v>
      </c>
      <c r="G242" t="s">
        <v>2037</v>
      </c>
      <c r="H242" t="s">
        <v>2038</v>
      </c>
    </row>
    <row r="243" spans="4:8" x14ac:dyDescent="0.25">
      <c r="D243" t="s">
        <v>883</v>
      </c>
      <c r="E243" t="s">
        <v>731</v>
      </c>
      <c r="F243" t="s">
        <v>2280</v>
      </c>
      <c r="G243" t="s">
        <v>2037</v>
      </c>
      <c r="H243" t="s">
        <v>2038</v>
      </c>
    </row>
    <row r="244" spans="4:8" x14ac:dyDescent="0.25">
      <c r="D244" t="s">
        <v>884</v>
      </c>
      <c r="E244" t="s">
        <v>731</v>
      </c>
      <c r="F244" t="s">
        <v>2281</v>
      </c>
      <c r="G244" t="s">
        <v>2037</v>
      </c>
      <c r="H244" t="s">
        <v>2038</v>
      </c>
    </row>
    <row r="245" spans="4:8" x14ac:dyDescent="0.25">
      <c r="D245" t="s">
        <v>885</v>
      </c>
      <c r="E245" t="s">
        <v>731</v>
      </c>
      <c r="F245" t="s">
        <v>2282</v>
      </c>
      <c r="G245" t="s">
        <v>2037</v>
      </c>
      <c r="H245" t="s">
        <v>2038</v>
      </c>
    </row>
    <row r="246" spans="4:8" x14ac:dyDescent="0.25">
      <c r="D246" t="s">
        <v>886</v>
      </c>
      <c r="E246" t="s">
        <v>731</v>
      </c>
      <c r="F246" t="s">
        <v>2283</v>
      </c>
      <c r="G246" t="s">
        <v>2037</v>
      </c>
      <c r="H246" t="s">
        <v>2038</v>
      </c>
    </row>
    <row r="247" spans="4:8" x14ac:dyDescent="0.25">
      <c r="D247" t="s">
        <v>887</v>
      </c>
      <c r="E247" t="s">
        <v>731</v>
      </c>
      <c r="F247" t="s">
        <v>2284</v>
      </c>
      <c r="G247" t="s">
        <v>2037</v>
      </c>
      <c r="H247" t="s">
        <v>2038</v>
      </c>
    </row>
    <row r="248" spans="4:8" x14ac:dyDescent="0.25">
      <c r="D248" t="s">
        <v>888</v>
      </c>
      <c r="E248" t="s">
        <v>731</v>
      </c>
      <c r="F248" t="s">
        <v>2285</v>
      </c>
      <c r="G248" t="s">
        <v>2037</v>
      </c>
      <c r="H248" t="s">
        <v>2038</v>
      </c>
    </row>
    <row r="249" spans="4:8" x14ac:dyDescent="0.25">
      <c r="D249" t="s">
        <v>889</v>
      </c>
      <c r="E249" t="s">
        <v>731</v>
      </c>
      <c r="F249" t="s">
        <v>2286</v>
      </c>
      <c r="G249" t="s">
        <v>2037</v>
      </c>
      <c r="H249" t="s">
        <v>2038</v>
      </c>
    </row>
    <row r="250" spans="4:8" x14ac:dyDescent="0.25">
      <c r="D250" t="s">
        <v>890</v>
      </c>
      <c r="E250" t="s">
        <v>731</v>
      </c>
      <c r="F250" t="s">
        <v>2287</v>
      </c>
      <c r="G250" t="s">
        <v>2037</v>
      </c>
      <c r="H250" t="s">
        <v>2038</v>
      </c>
    </row>
    <row r="251" spans="4:8" x14ac:dyDescent="0.25">
      <c r="D251" t="s">
        <v>891</v>
      </c>
      <c r="E251" t="s">
        <v>731</v>
      </c>
      <c r="F251" t="s">
        <v>2288</v>
      </c>
      <c r="G251" t="s">
        <v>2037</v>
      </c>
      <c r="H251" t="s">
        <v>2038</v>
      </c>
    </row>
    <row r="252" spans="4:8" x14ac:dyDescent="0.25">
      <c r="D252" t="s">
        <v>892</v>
      </c>
      <c r="E252" t="s">
        <v>731</v>
      </c>
      <c r="F252" t="s">
        <v>2289</v>
      </c>
      <c r="G252" t="s">
        <v>2037</v>
      </c>
      <c r="H252" t="s">
        <v>2038</v>
      </c>
    </row>
    <row r="253" spans="4:8" x14ac:dyDescent="0.25">
      <c r="D253" t="s">
        <v>893</v>
      </c>
      <c r="E253" t="s">
        <v>731</v>
      </c>
      <c r="F253" t="s">
        <v>2290</v>
      </c>
      <c r="G253" t="s">
        <v>2037</v>
      </c>
      <c r="H253" t="s">
        <v>2038</v>
      </c>
    </row>
    <row r="254" spans="4:8" x14ac:dyDescent="0.25">
      <c r="D254" t="s">
        <v>894</v>
      </c>
      <c r="E254" t="s">
        <v>731</v>
      </c>
      <c r="F254" t="s">
        <v>2291</v>
      </c>
      <c r="G254" t="s">
        <v>2037</v>
      </c>
      <c r="H254" t="s">
        <v>2038</v>
      </c>
    </row>
    <row r="255" spans="4:8" x14ac:dyDescent="0.25">
      <c r="D255" t="s">
        <v>895</v>
      </c>
      <c r="E255" t="s">
        <v>731</v>
      </c>
      <c r="F255" t="s">
        <v>2292</v>
      </c>
      <c r="G255" t="s">
        <v>2037</v>
      </c>
      <c r="H255" t="s">
        <v>2038</v>
      </c>
    </row>
    <row r="256" spans="4:8" x14ac:dyDescent="0.25">
      <c r="D256" t="s">
        <v>896</v>
      </c>
      <c r="E256" t="s">
        <v>731</v>
      </c>
      <c r="F256" t="s">
        <v>2293</v>
      </c>
      <c r="G256" t="s">
        <v>2037</v>
      </c>
      <c r="H256" t="s">
        <v>2038</v>
      </c>
    </row>
    <row r="257" spans="4:8" x14ac:dyDescent="0.25">
      <c r="D257" t="s">
        <v>897</v>
      </c>
      <c r="E257" t="s">
        <v>731</v>
      </c>
      <c r="F257" t="s">
        <v>2294</v>
      </c>
      <c r="G257" t="s">
        <v>2037</v>
      </c>
      <c r="H257" t="s">
        <v>2038</v>
      </c>
    </row>
    <row r="258" spans="4:8" x14ac:dyDescent="0.25">
      <c r="D258" t="s">
        <v>898</v>
      </c>
      <c r="E258" t="s">
        <v>731</v>
      </c>
      <c r="F258" t="s">
        <v>2295</v>
      </c>
      <c r="G258" t="s">
        <v>2037</v>
      </c>
      <c r="H258" t="s">
        <v>2038</v>
      </c>
    </row>
    <row r="259" spans="4:8" x14ac:dyDescent="0.25">
      <c r="D259" t="s">
        <v>899</v>
      </c>
      <c r="E259" t="s">
        <v>900</v>
      </c>
      <c r="F259" t="s">
        <v>2296</v>
      </c>
      <c r="G259" t="s">
        <v>2037</v>
      </c>
      <c r="H259" t="s">
        <v>2038</v>
      </c>
    </row>
    <row r="260" spans="4:8" x14ac:dyDescent="0.25">
      <c r="D260" t="s">
        <v>901</v>
      </c>
      <c r="E260" t="s">
        <v>902</v>
      </c>
      <c r="F260" t="s">
        <v>2297</v>
      </c>
      <c r="G260" t="s">
        <v>2037</v>
      </c>
      <c r="H260" t="s">
        <v>2038</v>
      </c>
    </row>
    <row r="261" spans="4:8" x14ac:dyDescent="0.25">
      <c r="D261" t="s">
        <v>903</v>
      </c>
      <c r="E261" t="s">
        <v>904</v>
      </c>
      <c r="F261" t="s">
        <v>2298</v>
      </c>
    </row>
    <row r="262" spans="4:8" x14ac:dyDescent="0.25">
      <c r="D262" t="s">
        <v>905</v>
      </c>
      <c r="E262" t="s">
        <v>906</v>
      </c>
      <c r="F262" t="s">
        <v>2298</v>
      </c>
    </row>
    <row r="263" spans="4:8" x14ac:dyDescent="0.25">
      <c r="D263" t="s">
        <v>907</v>
      </c>
      <c r="E263" t="s">
        <v>906</v>
      </c>
      <c r="F263" t="s">
        <v>2298</v>
      </c>
    </row>
    <row r="264" spans="4:8" x14ac:dyDescent="0.25">
      <c r="D264" t="s">
        <v>908</v>
      </c>
      <c r="E264" t="s">
        <v>906</v>
      </c>
      <c r="F264" t="s">
        <v>2298</v>
      </c>
    </row>
    <row r="265" spans="4:8" x14ac:dyDescent="0.25">
      <c r="D265" t="s">
        <v>909</v>
      </c>
      <c r="E265" t="s">
        <v>906</v>
      </c>
      <c r="F265" t="s">
        <v>2298</v>
      </c>
    </row>
    <row r="266" spans="4:8" x14ac:dyDescent="0.25">
      <c r="D266" t="s">
        <v>910</v>
      </c>
      <c r="E266" t="s">
        <v>906</v>
      </c>
      <c r="F266" t="s">
        <v>2298</v>
      </c>
    </row>
    <row r="267" spans="4:8" x14ac:dyDescent="0.25">
      <c r="D267" t="s">
        <v>911</v>
      </c>
      <c r="E267" t="s">
        <v>906</v>
      </c>
      <c r="F267" t="s">
        <v>2298</v>
      </c>
    </row>
    <row r="268" spans="4:8" x14ac:dyDescent="0.25">
      <c r="D268" t="s">
        <v>912</v>
      </c>
      <c r="E268" t="s">
        <v>906</v>
      </c>
      <c r="F268" t="s">
        <v>2298</v>
      </c>
    </row>
    <row r="269" spans="4:8" x14ac:dyDescent="0.25">
      <c r="D269" t="s">
        <v>913</v>
      </c>
      <c r="E269" t="s">
        <v>906</v>
      </c>
      <c r="F269" t="s">
        <v>2298</v>
      </c>
    </row>
    <row r="270" spans="4:8" x14ac:dyDescent="0.25">
      <c r="D270" t="s">
        <v>914</v>
      </c>
      <c r="E270" t="s">
        <v>906</v>
      </c>
      <c r="F270" t="s">
        <v>2298</v>
      </c>
    </row>
    <row r="271" spans="4:8" x14ac:dyDescent="0.25">
      <c r="D271" t="s">
        <v>915</v>
      </c>
      <c r="E271" t="s">
        <v>906</v>
      </c>
      <c r="F271" t="s">
        <v>2298</v>
      </c>
    </row>
    <row r="272" spans="4:8" x14ac:dyDescent="0.25">
      <c r="D272" t="s">
        <v>916</v>
      </c>
      <c r="E272" t="s">
        <v>906</v>
      </c>
      <c r="F272" t="s">
        <v>2298</v>
      </c>
    </row>
    <row r="273" spans="4:6" x14ac:dyDescent="0.25">
      <c r="D273" t="s">
        <v>917</v>
      </c>
      <c r="E273" t="s">
        <v>904</v>
      </c>
      <c r="F273" t="s">
        <v>2298</v>
      </c>
    </row>
    <row r="274" spans="4:6" x14ac:dyDescent="0.25">
      <c r="D274" t="s">
        <v>918</v>
      </c>
      <c r="E274" t="s">
        <v>906</v>
      </c>
      <c r="F274" t="s">
        <v>2298</v>
      </c>
    </row>
    <row r="275" spans="4:6" x14ac:dyDescent="0.25">
      <c r="D275" t="s">
        <v>919</v>
      </c>
      <c r="E275" t="s">
        <v>906</v>
      </c>
      <c r="F275" t="s">
        <v>2298</v>
      </c>
    </row>
    <row r="276" spans="4:6" x14ac:dyDescent="0.25">
      <c r="D276" t="s">
        <v>920</v>
      </c>
      <c r="E276" t="s">
        <v>906</v>
      </c>
      <c r="F276" t="s">
        <v>2298</v>
      </c>
    </row>
    <row r="277" spans="4:6" x14ac:dyDescent="0.25">
      <c r="D277" t="s">
        <v>921</v>
      </c>
      <c r="E277" t="s">
        <v>906</v>
      </c>
      <c r="F277" t="s">
        <v>2298</v>
      </c>
    </row>
    <row r="278" spans="4:6" x14ac:dyDescent="0.25">
      <c r="D278" t="s">
        <v>918</v>
      </c>
      <c r="E278" t="s">
        <v>906</v>
      </c>
      <c r="F278" t="s">
        <v>2298</v>
      </c>
    </row>
    <row r="279" spans="4:6" x14ac:dyDescent="0.25">
      <c r="D279" t="s">
        <v>919</v>
      </c>
      <c r="E279" t="s">
        <v>906</v>
      </c>
      <c r="F279" t="s">
        <v>2298</v>
      </c>
    </row>
    <row r="280" spans="4:6" x14ac:dyDescent="0.25">
      <c r="D280" t="s">
        <v>920</v>
      </c>
      <c r="E280" t="s">
        <v>906</v>
      </c>
      <c r="F280" t="s">
        <v>2298</v>
      </c>
    </row>
    <row r="281" spans="4:6" x14ac:dyDescent="0.25">
      <c r="D281" t="s">
        <v>921</v>
      </c>
      <c r="E281" t="s">
        <v>906</v>
      </c>
      <c r="F281" t="s">
        <v>2298</v>
      </c>
    </row>
    <row r="282" spans="4:6" x14ac:dyDescent="0.25">
      <c r="D282" t="s">
        <v>922</v>
      </c>
      <c r="E282" t="s">
        <v>906</v>
      </c>
      <c r="F282" t="s">
        <v>2298</v>
      </c>
    </row>
    <row r="283" spans="4:6" x14ac:dyDescent="0.25">
      <c r="D283" t="s">
        <v>923</v>
      </c>
      <c r="E283" t="s">
        <v>906</v>
      </c>
      <c r="F283" t="s">
        <v>2298</v>
      </c>
    </row>
    <row r="284" spans="4:6" x14ac:dyDescent="0.25">
      <c r="D284" t="s">
        <v>924</v>
      </c>
      <c r="E284" t="s">
        <v>906</v>
      </c>
      <c r="F284" t="s">
        <v>2298</v>
      </c>
    </row>
    <row r="285" spans="4:6" x14ac:dyDescent="0.25">
      <c r="D285" t="s">
        <v>925</v>
      </c>
      <c r="E285" t="s">
        <v>906</v>
      </c>
      <c r="F285" t="s">
        <v>2298</v>
      </c>
    </row>
    <row r="286" spans="4:6" x14ac:dyDescent="0.25">
      <c r="D286" t="s">
        <v>926</v>
      </c>
      <c r="E286" t="s">
        <v>906</v>
      </c>
      <c r="F286" t="s">
        <v>2298</v>
      </c>
    </row>
    <row r="287" spans="4:6" x14ac:dyDescent="0.25">
      <c r="D287" t="s">
        <v>927</v>
      </c>
      <c r="E287" t="s">
        <v>906</v>
      </c>
      <c r="F287" t="s">
        <v>2298</v>
      </c>
    </row>
    <row r="288" spans="4:6" x14ac:dyDescent="0.25">
      <c r="D288" t="s">
        <v>928</v>
      </c>
      <c r="E288" t="s">
        <v>906</v>
      </c>
      <c r="F288" t="s">
        <v>2298</v>
      </c>
    </row>
    <row r="289" spans="1:8" x14ac:dyDescent="0.25">
      <c r="D289" t="s">
        <v>929</v>
      </c>
      <c r="E289" t="s">
        <v>906</v>
      </c>
      <c r="F289" t="s">
        <v>2298</v>
      </c>
    </row>
    <row r="290" spans="1:8" x14ac:dyDescent="0.25">
      <c r="D290" t="s">
        <v>930</v>
      </c>
      <c r="E290" t="s">
        <v>906</v>
      </c>
      <c r="F290" t="s">
        <v>2298</v>
      </c>
    </row>
    <row r="291" spans="1:8" x14ac:dyDescent="0.25">
      <c r="D291" t="s">
        <v>931</v>
      </c>
      <c r="E291" t="s">
        <v>906</v>
      </c>
      <c r="F291" t="s">
        <v>2298</v>
      </c>
    </row>
    <row r="292" spans="1:8" x14ac:dyDescent="0.25">
      <c r="A292" t="s">
        <v>41</v>
      </c>
      <c r="B292" t="s">
        <v>3</v>
      </c>
      <c r="C292" t="s">
        <v>633</v>
      </c>
      <c r="D292" t="s">
        <v>932</v>
      </c>
      <c r="E292" t="s">
        <v>635</v>
      </c>
      <c r="F292" t="s">
        <v>2299</v>
      </c>
      <c r="G292" t="s">
        <v>2037</v>
      </c>
      <c r="H292" t="s">
        <v>2038</v>
      </c>
    </row>
    <row r="293" spans="1:8" x14ac:dyDescent="0.25">
      <c r="A293" t="s">
        <v>42</v>
      </c>
      <c r="B293" t="s">
        <v>5</v>
      </c>
      <c r="C293" t="s">
        <v>636</v>
      </c>
      <c r="D293" t="s">
        <v>933</v>
      </c>
      <c r="E293" t="s">
        <v>638</v>
      </c>
      <c r="F293" t="s">
        <v>2300</v>
      </c>
      <c r="G293" t="s">
        <v>2037</v>
      </c>
      <c r="H293" t="s">
        <v>2038</v>
      </c>
    </row>
    <row r="294" spans="1:8" x14ac:dyDescent="0.25">
      <c r="A294" t="s">
        <v>42</v>
      </c>
      <c r="B294" t="s">
        <v>43</v>
      </c>
      <c r="C294" t="s">
        <v>639</v>
      </c>
      <c r="D294" t="s">
        <v>934</v>
      </c>
      <c r="E294" t="s">
        <v>43</v>
      </c>
      <c r="F294" t="s">
        <v>2301</v>
      </c>
      <c r="G294" t="s">
        <v>2037</v>
      </c>
      <c r="H294" t="s">
        <v>2038</v>
      </c>
    </row>
    <row r="295" spans="1:8" x14ac:dyDescent="0.25">
      <c r="A295" t="s">
        <v>42</v>
      </c>
      <c r="B295" t="s">
        <v>44</v>
      </c>
      <c r="C295" t="s">
        <v>641</v>
      </c>
      <c r="D295" t="s">
        <v>935</v>
      </c>
      <c r="E295" t="s">
        <v>44</v>
      </c>
      <c r="F295" t="s">
        <v>2302</v>
      </c>
      <c r="G295" t="s">
        <v>2037</v>
      </c>
      <c r="H295" t="s">
        <v>2038</v>
      </c>
    </row>
    <row r="296" spans="1:8" x14ac:dyDescent="0.25">
      <c r="A296" t="s">
        <v>42</v>
      </c>
      <c r="B296" t="s">
        <v>8</v>
      </c>
      <c r="C296" t="s">
        <v>643</v>
      </c>
      <c r="D296" t="s">
        <v>936</v>
      </c>
      <c r="E296" t="s">
        <v>645</v>
      </c>
      <c r="F296" t="s">
        <v>2303</v>
      </c>
      <c r="G296" t="s">
        <v>2037</v>
      </c>
      <c r="H296" t="s">
        <v>2038</v>
      </c>
    </row>
    <row r="297" spans="1:8" x14ac:dyDescent="0.25">
      <c r="A297" t="s">
        <v>42</v>
      </c>
      <c r="B297" t="s">
        <v>9</v>
      </c>
      <c r="C297" t="s">
        <v>646</v>
      </c>
      <c r="D297" t="s">
        <v>647</v>
      </c>
      <c r="E297" t="s">
        <v>647</v>
      </c>
      <c r="F297" t="s">
        <v>2304</v>
      </c>
      <c r="G297" t="s">
        <v>2037</v>
      </c>
      <c r="H297" t="s">
        <v>2038</v>
      </c>
    </row>
    <row r="298" spans="1:8" x14ac:dyDescent="0.25">
      <c r="A298" t="s">
        <v>42</v>
      </c>
      <c r="B298" t="s">
        <v>45</v>
      </c>
      <c r="C298" t="s">
        <v>648</v>
      </c>
      <c r="D298" t="s">
        <v>937</v>
      </c>
      <c r="E298" t="s">
        <v>66</v>
      </c>
      <c r="F298" t="s">
        <v>2305</v>
      </c>
      <c r="G298" t="s">
        <v>2037</v>
      </c>
      <c r="H298" t="s">
        <v>2038</v>
      </c>
    </row>
    <row r="299" spans="1:8" x14ac:dyDescent="0.25">
      <c r="A299" t="s">
        <v>42</v>
      </c>
      <c r="B299" t="s">
        <v>11</v>
      </c>
      <c r="C299" t="s">
        <v>650</v>
      </c>
      <c r="D299" t="s">
        <v>938</v>
      </c>
      <c r="E299" t="s">
        <v>652</v>
      </c>
      <c r="F299" t="s">
        <v>2306</v>
      </c>
      <c r="G299" t="s">
        <v>2037</v>
      </c>
      <c r="H299" t="s">
        <v>2038</v>
      </c>
    </row>
    <row r="300" spans="1:8" x14ac:dyDescent="0.25">
      <c r="A300" t="s">
        <v>42</v>
      </c>
      <c r="B300" t="s">
        <v>12</v>
      </c>
      <c r="C300" t="s">
        <v>653</v>
      </c>
      <c r="D300" t="s">
        <v>939</v>
      </c>
      <c r="E300" t="s">
        <v>655</v>
      </c>
      <c r="F300" t="s">
        <v>2307</v>
      </c>
      <c r="G300" t="s">
        <v>2037</v>
      </c>
      <c r="H300" t="s">
        <v>2038</v>
      </c>
    </row>
    <row r="301" spans="1:8" x14ac:dyDescent="0.25">
      <c r="A301" t="s">
        <v>42</v>
      </c>
      <c r="B301" t="s">
        <v>46</v>
      </c>
      <c r="C301" t="s">
        <v>656</v>
      </c>
      <c r="D301" t="s">
        <v>940</v>
      </c>
      <c r="E301" t="s">
        <v>46</v>
      </c>
      <c r="F301" t="s">
        <v>2308</v>
      </c>
      <c r="G301" t="s">
        <v>2037</v>
      </c>
      <c r="H301" t="s">
        <v>2038</v>
      </c>
    </row>
    <row r="302" spans="1:8" x14ac:dyDescent="0.25">
      <c r="A302" t="s">
        <v>42</v>
      </c>
      <c r="B302" t="s">
        <v>8</v>
      </c>
      <c r="C302" t="s">
        <v>658</v>
      </c>
      <c r="D302" t="s">
        <v>940</v>
      </c>
      <c r="E302" t="s">
        <v>660</v>
      </c>
      <c r="F302" t="s">
        <v>2309</v>
      </c>
      <c r="G302" t="s">
        <v>2037</v>
      </c>
      <c r="H302" t="s">
        <v>2038</v>
      </c>
    </row>
    <row r="303" spans="1:8" x14ac:dyDescent="0.25">
      <c r="A303" t="s">
        <v>42</v>
      </c>
      <c r="B303" t="s">
        <v>14</v>
      </c>
      <c r="C303" t="s">
        <v>661</v>
      </c>
      <c r="D303" t="s">
        <v>941</v>
      </c>
      <c r="E303" t="s">
        <v>663</v>
      </c>
      <c r="F303" t="s">
        <v>2310</v>
      </c>
      <c r="G303" t="s">
        <v>2037</v>
      </c>
      <c r="H303" t="s">
        <v>2038</v>
      </c>
    </row>
    <row r="304" spans="1:8" x14ac:dyDescent="0.25">
      <c r="D304" t="s">
        <v>942</v>
      </c>
      <c r="E304" t="s">
        <v>943</v>
      </c>
      <c r="F304" t="s">
        <v>2079</v>
      </c>
    </row>
    <row r="305" spans="1:8" x14ac:dyDescent="0.25">
      <c r="D305" t="s">
        <v>944</v>
      </c>
      <c r="E305" t="s">
        <v>945</v>
      </c>
      <c r="F305" t="s">
        <v>2079</v>
      </c>
    </row>
    <row r="306" spans="1:8" x14ac:dyDescent="0.25">
      <c r="D306" t="s">
        <v>946</v>
      </c>
      <c r="E306" t="s">
        <v>947</v>
      </c>
      <c r="F306" t="s">
        <v>2079</v>
      </c>
    </row>
    <row r="307" spans="1:8" x14ac:dyDescent="0.25">
      <c r="A307" t="s">
        <v>47</v>
      </c>
      <c r="B307" t="s">
        <v>16</v>
      </c>
      <c r="C307" t="s">
        <v>664</v>
      </c>
      <c r="D307" t="s">
        <v>948</v>
      </c>
      <c r="E307" t="s">
        <v>16</v>
      </c>
      <c r="F307" t="s">
        <v>2311</v>
      </c>
      <c r="G307" t="s">
        <v>2037</v>
      </c>
      <c r="H307" t="s">
        <v>2038</v>
      </c>
    </row>
    <row r="308" spans="1:8" x14ac:dyDescent="0.25">
      <c r="A308" t="s">
        <v>47</v>
      </c>
      <c r="B308" t="s">
        <v>17</v>
      </c>
      <c r="C308" t="s">
        <v>666</v>
      </c>
      <c r="D308" t="s">
        <v>949</v>
      </c>
      <c r="E308" t="s">
        <v>17</v>
      </c>
      <c r="F308" t="s">
        <v>2312</v>
      </c>
      <c r="G308" t="s">
        <v>2037</v>
      </c>
      <c r="H308" t="s">
        <v>2038</v>
      </c>
    </row>
    <row r="309" spans="1:8" x14ac:dyDescent="0.25">
      <c r="A309" t="s">
        <v>47</v>
      </c>
      <c r="B309" t="s">
        <v>48</v>
      </c>
      <c r="C309" t="s">
        <v>668</v>
      </c>
      <c r="D309" t="s">
        <v>950</v>
      </c>
      <c r="E309" t="s">
        <v>670</v>
      </c>
      <c r="F309" t="s">
        <v>2313</v>
      </c>
      <c r="G309" t="s">
        <v>2037</v>
      </c>
      <c r="H309" t="s">
        <v>2038</v>
      </c>
    </row>
    <row r="310" spans="1:8" x14ac:dyDescent="0.25">
      <c r="A310" t="s">
        <v>47</v>
      </c>
      <c r="B310" t="s">
        <v>8</v>
      </c>
      <c r="C310" t="s">
        <v>671</v>
      </c>
      <c r="D310" t="s">
        <v>951</v>
      </c>
      <c r="E310" t="s">
        <v>8</v>
      </c>
      <c r="F310" t="s">
        <v>2314</v>
      </c>
      <c r="G310" t="s">
        <v>2037</v>
      </c>
      <c r="H310" t="s">
        <v>2038</v>
      </c>
    </row>
    <row r="311" spans="1:8" x14ac:dyDescent="0.25">
      <c r="A311" t="s">
        <v>47</v>
      </c>
      <c r="B311" t="s">
        <v>49</v>
      </c>
      <c r="C311" t="s">
        <v>673</v>
      </c>
      <c r="D311" t="s">
        <v>952</v>
      </c>
      <c r="E311" t="s">
        <v>71</v>
      </c>
      <c r="F311" t="s">
        <v>2315</v>
      </c>
      <c r="G311" t="s">
        <v>2037</v>
      </c>
      <c r="H311" t="s">
        <v>2038</v>
      </c>
    </row>
    <row r="312" spans="1:8" x14ac:dyDescent="0.25">
      <c r="A312" t="s">
        <v>47</v>
      </c>
      <c r="B312" t="s">
        <v>50</v>
      </c>
      <c r="C312" t="s">
        <v>675</v>
      </c>
      <c r="D312" t="s">
        <v>953</v>
      </c>
      <c r="E312" t="s">
        <v>72</v>
      </c>
      <c r="F312" t="s">
        <v>2316</v>
      </c>
      <c r="G312" t="s">
        <v>2037</v>
      </c>
      <c r="H312" t="s">
        <v>2038</v>
      </c>
    </row>
    <row r="313" spans="1:8" x14ac:dyDescent="0.25">
      <c r="A313" t="s">
        <v>47</v>
      </c>
      <c r="B313" t="s">
        <v>51</v>
      </c>
      <c r="C313" t="s">
        <v>677</v>
      </c>
      <c r="D313" t="s">
        <v>954</v>
      </c>
      <c r="E313" t="s">
        <v>73</v>
      </c>
      <c r="F313" t="s">
        <v>2317</v>
      </c>
      <c r="G313" t="s">
        <v>2037</v>
      </c>
      <c r="H313" t="s">
        <v>2038</v>
      </c>
    </row>
    <row r="314" spans="1:8" x14ac:dyDescent="0.25">
      <c r="A314" t="s">
        <v>47</v>
      </c>
      <c r="B314" t="s">
        <v>52</v>
      </c>
      <c r="C314" t="s">
        <v>679</v>
      </c>
      <c r="D314" t="s">
        <v>955</v>
      </c>
      <c r="E314" t="s">
        <v>74</v>
      </c>
      <c r="F314" t="s">
        <v>2318</v>
      </c>
      <c r="G314" t="s">
        <v>2037</v>
      </c>
      <c r="H314" t="s">
        <v>2038</v>
      </c>
    </row>
    <row r="315" spans="1:8" x14ac:dyDescent="0.25">
      <c r="A315" t="s">
        <v>47</v>
      </c>
      <c r="B315" t="s">
        <v>53</v>
      </c>
      <c r="C315" t="s">
        <v>671</v>
      </c>
      <c r="D315" t="s">
        <v>956</v>
      </c>
      <c r="E315" t="s">
        <v>75</v>
      </c>
      <c r="F315" t="s">
        <v>2319</v>
      </c>
      <c r="G315" t="s">
        <v>2037</v>
      </c>
      <c r="H315" t="s">
        <v>2038</v>
      </c>
    </row>
    <row r="316" spans="1:8" x14ac:dyDescent="0.25">
      <c r="A316" t="s">
        <v>47</v>
      </c>
      <c r="B316" t="s">
        <v>54</v>
      </c>
      <c r="C316" t="s">
        <v>671</v>
      </c>
      <c r="D316" t="s">
        <v>957</v>
      </c>
      <c r="E316" t="s">
        <v>76</v>
      </c>
      <c r="F316" t="s">
        <v>2320</v>
      </c>
      <c r="G316" t="s">
        <v>2037</v>
      </c>
      <c r="H316" t="s">
        <v>2038</v>
      </c>
    </row>
    <row r="317" spans="1:8" x14ac:dyDescent="0.25">
      <c r="A317" t="s">
        <v>47</v>
      </c>
      <c r="B317" t="s">
        <v>55</v>
      </c>
      <c r="C317" t="s">
        <v>683</v>
      </c>
      <c r="D317" t="s">
        <v>958</v>
      </c>
      <c r="E317" t="s">
        <v>77</v>
      </c>
      <c r="F317" t="s">
        <v>2321</v>
      </c>
      <c r="G317" t="s">
        <v>2037</v>
      </c>
      <c r="H317" t="s">
        <v>2038</v>
      </c>
    </row>
    <row r="318" spans="1:8" x14ac:dyDescent="0.25">
      <c r="A318" t="s">
        <v>47</v>
      </c>
      <c r="B318" t="s">
        <v>26</v>
      </c>
      <c r="C318" t="s">
        <v>685</v>
      </c>
      <c r="D318" t="s">
        <v>959</v>
      </c>
      <c r="E318" t="s">
        <v>687</v>
      </c>
      <c r="F318" t="s">
        <v>2322</v>
      </c>
      <c r="G318" t="s">
        <v>2037</v>
      </c>
      <c r="H318" t="s">
        <v>2038</v>
      </c>
    </row>
    <row r="319" spans="1:8" x14ac:dyDescent="0.25">
      <c r="A319" t="s">
        <v>41</v>
      </c>
      <c r="B319" t="s">
        <v>27</v>
      </c>
      <c r="C319" t="s">
        <v>688</v>
      </c>
      <c r="D319" t="s">
        <v>960</v>
      </c>
      <c r="E319" t="s">
        <v>960</v>
      </c>
      <c r="F319" t="s">
        <v>2323</v>
      </c>
      <c r="G319" t="s">
        <v>2037</v>
      </c>
      <c r="H319" t="s">
        <v>2038</v>
      </c>
    </row>
    <row r="320" spans="1:8" x14ac:dyDescent="0.25">
      <c r="A320" t="s">
        <v>42</v>
      </c>
      <c r="B320" t="s">
        <v>28</v>
      </c>
      <c r="C320" t="s">
        <v>690</v>
      </c>
      <c r="F320" t="s">
        <v>2324</v>
      </c>
      <c r="G320" t="s">
        <v>2037</v>
      </c>
      <c r="H320" t="s">
        <v>2038</v>
      </c>
    </row>
    <row r="321" spans="1:8" x14ac:dyDescent="0.25">
      <c r="A321" t="s">
        <v>42</v>
      </c>
      <c r="B321" t="s">
        <v>29</v>
      </c>
      <c r="C321" t="s">
        <v>693</v>
      </c>
      <c r="F321" t="s">
        <v>2325</v>
      </c>
      <c r="G321" t="s">
        <v>2037</v>
      </c>
      <c r="H321" t="s">
        <v>2038</v>
      </c>
    </row>
    <row r="322" spans="1:8" x14ac:dyDescent="0.25">
      <c r="A322" t="s">
        <v>56</v>
      </c>
      <c r="B322" t="s">
        <v>31</v>
      </c>
      <c r="C322" t="s">
        <v>694</v>
      </c>
      <c r="D322" t="s">
        <v>961</v>
      </c>
      <c r="E322" t="s">
        <v>31</v>
      </c>
      <c r="F322" t="s">
        <v>2326</v>
      </c>
      <c r="G322" t="s">
        <v>2037</v>
      </c>
      <c r="H322" t="s">
        <v>2038</v>
      </c>
    </row>
    <row r="323" spans="1:8" x14ac:dyDescent="0.25">
      <c r="A323" t="s">
        <v>56</v>
      </c>
      <c r="B323" t="s">
        <v>17</v>
      </c>
      <c r="C323" t="s">
        <v>696</v>
      </c>
      <c r="D323" t="s">
        <v>962</v>
      </c>
      <c r="E323" t="s">
        <v>17</v>
      </c>
      <c r="F323" t="s">
        <v>2327</v>
      </c>
      <c r="G323" t="s">
        <v>2037</v>
      </c>
      <c r="H323" t="s">
        <v>2038</v>
      </c>
    </row>
    <row r="324" spans="1:8" x14ac:dyDescent="0.25">
      <c r="A324" t="s">
        <v>56</v>
      </c>
      <c r="B324" t="s">
        <v>16</v>
      </c>
      <c r="C324" t="s">
        <v>698</v>
      </c>
      <c r="D324" t="s">
        <v>963</v>
      </c>
      <c r="E324" t="s">
        <v>16</v>
      </c>
      <c r="F324" t="s">
        <v>2328</v>
      </c>
      <c r="G324" t="s">
        <v>2037</v>
      </c>
      <c r="H324" t="s">
        <v>2038</v>
      </c>
    </row>
    <row r="325" spans="1:8" x14ac:dyDescent="0.25">
      <c r="A325" t="s">
        <v>56</v>
      </c>
      <c r="B325" t="s">
        <v>32</v>
      </c>
      <c r="C325" t="s">
        <v>700</v>
      </c>
      <c r="D325" t="s">
        <v>964</v>
      </c>
      <c r="E325" t="s">
        <v>702</v>
      </c>
      <c r="F325" t="s">
        <v>2329</v>
      </c>
      <c r="G325" t="s">
        <v>2037</v>
      </c>
      <c r="H325" t="s">
        <v>2038</v>
      </c>
    </row>
    <row r="326" spans="1:8" x14ac:dyDescent="0.25">
      <c r="A326" t="s">
        <v>56</v>
      </c>
      <c r="B326" t="s">
        <v>33</v>
      </c>
      <c r="C326" t="s">
        <v>703</v>
      </c>
      <c r="D326" t="s">
        <v>965</v>
      </c>
      <c r="E326" t="s">
        <v>705</v>
      </c>
      <c r="F326" t="s">
        <v>2330</v>
      </c>
      <c r="G326" t="s">
        <v>2037</v>
      </c>
      <c r="H326" t="s">
        <v>2038</v>
      </c>
    </row>
    <row r="327" spans="1:8" x14ac:dyDescent="0.25">
      <c r="A327" t="s">
        <v>56</v>
      </c>
      <c r="B327" t="s">
        <v>57</v>
      </c>
      <c r="C327" t="s">
        <v>706</v>
      </c>
      <c r="D327" t="s">
        <v>966</v>
      </c>
      <c r="E327" t="s">
        <v>708</v>
      </c>
      <c r="F327" t="s">
        <v>2331</v>
      </c>
      <c r="G327" t="s">
        <v>2037</v>
      </c>
      <c r="H327" t="s">
        <v>2038</v>
      </c>
    </row>
    <row r="328" spans="1:8" x14ac:dyDescent="0.25">
      <c r="A328" t="s">
        <v>56</v>
      </c>
      <c r="B328" t="s">
        <v>58</v>
      </c>
      <c r="C328" t="s">
        <v>709</v>
      </c>
      <c r="D328" t="s">
        <v>967</v>
      </c>
      <c r="E328" t="s">
        <v>711</v>
      </c>
      <c r="F328" t="s">
        <v>2332</v>
      </c>
      <c r="G328" t="s">
        <v>2037</v>
      </c>
      <c r="H328" t="s">
        <v>2038</v>
      </c>
    </row>
    <row r="329" spans="1:8" x14ac:dyDescent="0.25">
      <c r="A329" t="s">
        <v>56</v>
      </c>
      <c r="B329" t="s">
        <v>59</v>
      </c>
      <c r="C329" t="s">
        <v>712</v>
      </c>
      <c r="D329" t="s">
        <v>968</v>
      </c>
      <c r="E329" t="s">
        <v>714</v>
      </c>
      <c r="F329" t="s">
        <v>2333</v>
      </c>
      <c r="G329" t="s">
        <v>2037</v>
      </c>
      <c r="H329" t="s">
        <v>2038</v>
      </c>
    </row>
    <row r="330" spans="1:8" x14ac:dyDescent="0.25">
      <c r="A330" t="s">
        <v>56</v>
      </c>
      <c r="B330" t="s">
        <v>60</v>
      </c>
      <c r="C330" t="s">
        <v>715</v>
      </c>
      <c r="D330" t="s">
        <v>969</v>
      </c>
      <c r="E330" t="s">
        <v>717</v>
      </c>
      <c r="F330" t="s">
        <v>2334</v>
      </c>
      <c r="G330" t="s">
        <v>2037</v>
      </c>
      <c r="H330" t="s">
        <v>2038</v>
      </c>
    </row>
    <row r="331" spans="1:8" x14ac:dyDescent="0.25">
      <c r="A331" t="s">
        <v>56</v>
      </c>
      <c r="B331" t="s">
        <v>61</v>
      </c>
      <c r="C331" t="s">
        <v>718</v>
      </c>
      <c r="D331" t="s">
        <v>970</v>
      </c>
      <c r="E331" t="s">
        <v>720</v>
      </c>
      <c r="F331" t="s">
        <v>2335</v>
      </c>
      <c r="G331" t="s">
        <v>2037</v>
      </c>
      <c r="H331" t="s">
        <v>2038</v>
      </c>
    </row>
    <row r="332" spans="1:8" x14ac:dyDescent="0.25">
      <c r="A332" t="s">
        <v>56</v>
      </c>
      <c r="B332" t="s">
        <v>8</v>
      </c>
      <c r="C332" t="s">
        <v>721</v>
      </c>
      <c r="D332" t="s">
        <v>971</v>
      </c>
      <c r="E332" t="s">
        <v>645</v>
      </c>
      <c r="F332" t="s">
        <v>2336</v>
      </c>
      <c r="G332" t="s">
        <v>2037</v>
      </c>
      <c r="H332" t="s">
        <v>2038</v>
      </c>
    </row>
    <row r="333" spans="1:8" x14ac:dyDescent="0.25">
      <c r="A333" t="s">
        <v>56</v>
      </c>
      <c r="B333" t="s">
        <v>8</v>
      </c>
      <c r="C333" t="s">
        <v>723</v>
      </c>
      <c r="D333" t="s">
        <v>972</v>
      </c>
      <c r="E333" t="s">
        <v>660</v>
      </c>
      <c r="F333" t="s">
        <v>2337</v>
      </c>
      <c r="G333" t="s">
        <v>2037</v>
      </c>
      <c r="H333" t="s">
        <v>2038</v>
      </c>
    </row>
    <row r="334" spans="1:8" x14ac:dyDescent="0.25">
      <c r="A334" t="s">
        <v>56</v>
      </c>
      <c r="B334" t="s">
        <v>39</v>
      </c>
      <c r="C334" t="s">
        <v>725</v>
      </c>
      <c r="D334" t="s">
        <v>973</v>
      </c>
      <c r="E334" t="s">
        <v>39</v>
      </c>
      <c r="F334" t="s">
        <v>2338</v>
      </c>
      <c r="G334" t="s">
        <v>2037</v>
      </c>
      <c r="H334" t="s">
        <v>2038</v>
      </c>
    </row>
    <row r="335" spans="1:8" x14ac:dyDescent="0.25">
      <c r="A335" t="s">
        <v>56</v>
      </c>
      <c r="B335" t="s">
        <v>8</v>
      </c>
      <c r="C335" t="s">
        <v>727</v>
      </c>
      <c r="D335" t="s">
        <v>70</v>
      </c>
      <c r="E335" t="s">
        <v>70</v>
      </c>
      <c r="F335" t="s">
        <v>2079</v>
      </c>
    </row>
    <row r="336" spans="1:8" x14ac:dyDescent="0.25">
      <c r="A336" t="s">
        <v>56</v>
      </c>
      <c r="B336" t="s">
        <v>40</v>
      </c>
      <c r="C336" t="s">
        <v>728</v>
      </c>
      <c r="D336" t="s">
        <v>974</v>
      </c>
      <c r="E336" t="s">
        <v>687</v>
      </c>
      <c r="F336" t="s">
        <v>2339</v>
      </c>
      <c r="G336" t="s">
        <v>2037</v>
      </c>
      <c r="H336" t="s">
        <v>2038</v>
      </c>
    </row>
    <row r="337" spans="1:8" x14ac:dyDescent="0.25">
      <c r="A337" t="s">
        <v>62</v>
      </c>
      <c r="B337" t="s">
        <v>3</v>
      </c>
      <c r="C337" t="s">
        <v>633</v>
      </c>
      <c r="D337" t="s">
        <v>975</v>
      </c>
      <c r="E337" t="s">
        <v>635</v>
      </c>
      <c r="F337" t="s">
        <v>2340</v>
      </c>
      <c r="G337" t="s">
        <v>2037</v>
      </c>
      <c r="H337" t="s">
        <v>2038</v>
      </c>
    </row>
    <row r="338" spans="1:8" x14ac:dyDescent="0.25">
      <c r="A338" t="s">
        <v>63</v>
      </c>
      <c r="B338" t="s">
        <v>5</v>
      </c>
      <c r="C338" t="s">
        <v>636</v>
      </c>
      <c r="D338" t="s">
        <v>975</v>
      </c>
      <c r="E338" t="s">
        <v>638</v>
      </c>
      <c r="F338" t="s">
        <v>2341</v>
      </c>
      <c r="G338" t="s">
        <v>2037</v>
      </c>
      <c r="H338" t="s">
        <v>2038</v>
      </c>
    </row>
    <row r="339" spans="1:8" x14ac:dyDescent="0.25">
      <c r="A339" t="s">
        <v>63</v>
      </c>
      <c r="B339" t="s">
        <v>64</v>
      </c>
      <c r="C339" t="s">
        <v>639</v>
      </c>
      <c r="D339" t="s">
        <v>976</v>
      </c>
      <c r="E339" t="s">
        <v>64</v>
      </c>
      <c r="F339" t="s">
        <v>2342</v>
      </c>
      <c r="G339" t="s">
        <v>2037</v>
      </c>
      <c r="H339" t="s">
        <v>2038</v>
      </c>
    </row>
    <row r="340" spans="1:8" x14ac:dyDescent="0.25">
      <c r="A340" t="s">
        <v>63</v>
      </c>
      <c r="B340" t="s">
        <v>65</v>
      </c>
      <c r="C340" t="s">
        <v>641</v>
      </c>
      <c r="D340" t="s">
        <v>977</v>
      </c>
      <c r="E340" t="s">
        <v>65</v>
      </c>
      <c r="F340" t="s">
        <v>2343</v>
      </c>
      <c r="G340" t="s">
        <v>2037</v>
      </c>
      <c r="H340" t="s">
        <v>2038</v>
      </c>
    </row>
    <row r="341" spans="1:8" x14ac:dyDescent="0.25">
      <c r="A341" t="s">
        <v>63</v>
      </c>
      <c r="B341" t="s">
        <v>8</v>
      </c>
      <c r="C341" t="s">
        <v>643</v>
      </c>
      <c r="D341" t="s">
        <v>978</v>
      </c>
      <c r="E341" t="s">
        <v>645</v>
      </c>
      <c r="F341" t="s">
        <v>2344</v>
      </c>
      <c r="G341" t="s">
        <v>2037</v>
      </c>
      <c r="H341" t="s">
        <v>2038</v>
      </c>
    </row>
    <row r="342" spans="1:8" x14ac:dyDescent="0.25">
      <c r="A342" t="s">
        <v>63</v>
      </c>
      <c r="B342" t="s">
        <v>9</v>
      </c>
      <c r="C342" t="s">
        <v>646</v>
      </c>
      <c r="D342" t="s">
        <v>647</v>
      </c>
      <c r="E342" t="s">
        <v>647</v>
      </c>
      <c r="F342" t="s">
        <v>2345</v>
      </c>
      <c r="G342" t="s">
        <v>2037</v>
      </c>
      <c r="H342" t="s">
        <v>2038</v>
      </c>
    </row>
    <row r="343" spans="1:8" x14ac:dyDescent="0.25">
      <c r="A343" t="s">
        <v>63</v>
      </c>
      <c r="B343" t="s">
        <v>66</v>
      </c>
      <c r="C343" t="s">
        <v>648</v>
      </c>
      <c r="D343" t="s">
        <v>979</v>
      </c>
      <c r="E343" t="s">
        <v>66</v>
      </c>
      <c r="F343" t="s">
        <v>2346</v>
      </c>
      <c r="G343" t="s">
        <v>2037</v>
      </c>
      <c r="H343" t="s">
        <v>2038</v>
      </c>
    </row>
    <row r="344" spans="1:8" x14ac:dyDescent="0.25">
      <c r="A344" t="s">
        <v>63</v>
      </c>
      <c r="B344" t="s">
        <v>11</v>
      </c>
      <c r="C344" t="s">
        <v>650</v>
      </c>
      <c r="D344" t="s">
        <v>980</v>
      </c>
      <c r="E344" t="s">
        <v>652</v>
      </c>
      <c r="F344" t="s">
        <v>2347</v>
      </c>
      <c r="G344" t="s">
        <v>2037</v>
      </c>
      <c r="H344" t="s">
        <v>2038</v>
      </c>
    </row>
    <row r="345" spans="1:8" x14ac:dyDescent="0.25">
      <c r="A345" t="s">
        <v>63</v>
      </c>
      <c r="B345" t="s">
        <v>12</v>
      </c>
      <c r="C345" t="s">
        <v>653</v>
      </c>
      <c r="D345" t="s">
        <v>981</v>
      </c>
      <c r="E345" t="s">
        <v>655</v>
      </c>
      <c r="F345" t="s">
        <v>2348</v>
      </c>
      <c r="G345" t="s">
        <v>2037</v>
      </c>
      <c r="H345" t="s">
        <v>2038</v>
      </c>
    </row>
    <row r="346" spans="1:8" x14ac:dyDescent="0.25">
      <c r="A346" t="s">
        <v>63</v>
      </c>
      <c r="B346" t="s">
        <v>67</v>
      </c>
      <c r="C346" t="s">
        <v>656</v>
      </c>
      <c r="D346" t="s">
        <v>982</v>
      </c>
      <c r="E346" t="s">
        <v>67</v>
      </c>
      <c r="F346" t="s">
        <v>2349</v>
      </c>
      <c r="G346" t="s">
        <v>2037</v>
      </c>
      <c r="H346" t="s">
        <v>2038</v>
      </c>
    </row>
    <row r="347" spans="1:8" x14ac:dyDescent="0.25">
      <c r="A347" t="s">
        <v>63</v>
      </c>
      <c r="B347" t="s">
        <v>8</v>
      </c>
      <c r="C347" t="s">
        <v>658</v>
      </c>
      <c r="D347" t="s">
        <v>983</v>
      </c>
      <c r="E347" t="s">
        <v>660</v>
      </c>
      <c r="F347" t="s">
        <v>2350</v>
      </c>
      <c r="G347" t="s">
        <v>2037</v>
      </c>
      <c r="H347" t="s">
        <v>2038</v>
      </c>
    </row>
    <row r="348" spans="1:8" x14ac:dyDescent="0.25">
      <c r="A348" t="s">
        <v>63</v>
      </c>
      <c r="B348" t="s">
        <v>14</v>
      </c>
      <c r="C348" t="s">
        <v>661</v>
      </c>
      <c r="D348" t="s">
        <v>984</v>
      </c>
      <c r="E348" t="s">
        <v>687</v>
      </c>
      <c r="F348" t="s">
        <v>2351</v>
      </c>
      <c r="G348" t="s">
        <v>2037</v>
      </c>
      <c r="H348" t="s">
        <v>2038</v>
      </c>
    </row>
    <row r="349" spans="1:8" x14ac:dyDescent="0.25">
      <c r="A349" t="s">
        <v>68</v>
      </c>
      <c r="B349" t="s">
        <v>16</v>
      </c>
      <c r="C349" t="s">
        <v>664</v>
      </c>
      <c r="D349" t="s">
        <v>985</v>
      </c>
      <c r="E349" t="s">
        <v>16</v>
      </c>
      <c r="F349" t="s">
        <v>2352</v>
      </c>
      <c r="G349" t="s">
        <v>2037</v>
      </c>
      <c r="H349" t="s">
        <v>2038</v>
      </c>
    </row>
    <row r="350" spans="1:8" x14ac:dyDescent="0.25">
      <c r="A350" t="s">
        <v>68</v>
      </c>
      <c r="B350" t="s">
        <v>17</v>
      </c>
      <c r="C350" t="s">
        <v>666</v>
      </c>
      <c r="D350" t="s">
        <v>986</v>
      </c>
      <c r="E350" t="s">
        <v>17</v>
      </c>
      <c r="F350" t="s">
        <v>2353</v>
      </c>
      <c r="G350" t="s">
        <v>2037</v>
      </c>
      <c r="H350" t="s">
        <v>2038</v>
      </c>
    </row>
    <row r="351" spans="1:8" x14ac:dyDescent="0.25">
      <c r="A351" t="s">
        <v>68</v>
      </c>
      <c r="B351" t="s">
        <v>69</v>
      </c>
      <c r="C351" t="s">
        <v>668</v>
      </c>
      <c r="D351" t="s">
        <v>987</v>
      </c>
      <c r="E351" t="s">
        <v>670</v>
      </c>
      <c r="F351" t="s">
        <v>2354</v>
      </c>
      <c r="G351" t="s">
        <v>2037</v>
      </c>
      <c r="H351" t="s">
        <v>2038</v>
      </c>
    </row>
    <row r="352" spans="1:8" x14ac:dyDescent="0.25">
      <c r="A352" t="s">
        <v>70</v>
      </c>
      <c r="B352" t="s">
        <v>70</v>
      </c>
      <c r="D352" t="s">
        <v>988</v>
      </c>
      <c r="E352" t="s">
        <v>8</v>
      </c>
      <c r="F352" t="s">
        <v>2079</v>
      </c>
    </row>
    <row r="353" spans="1:8" x14ac:dyDescent="0.25">
      <c r="A353" t="s">
        <v>68</v>
      </c>
      <c r="B353" t="s">
        <v>71</v>
      </c>
      <c r="C353" t="s">
        <v>673</v>
      </c>
      <c r="D353" t="s">
        <v>989</v>
      </c>
      <c r="E353" t="s">
        <v>71</v>
      </c>
      <c r="F353" t="s">
        <v>2355</v>
      </c>
      <c r="G353" t="s">
        <v>2037</v>
      </c>
      <c r="H353" t="s">
        <v>2038</v>
      </c>
    </row>
    <row r="354" spans="1:8" x14ac:dyDescent="0.25">
      <c r="A354" t="s">
        <v>68</v>
      </c>
      <c r="B354" t="s">
        <v>72</v>
      </c>
      <c r="C354" t="s">
        <v>675</v>
      </c>
      <c r="D354" t="s">
        <v>990</v>
      </c>
      <c r="E354" t="s">
        <v>72</v>
      </c>
      <c r="F354" t="s">
        <v>2356</v>
      </c>
      <c r="G354" t="s">
        <v>2037</v>
      </c>
      <c r="H354" t="s">
        <v>2038</v>
      </c>
    </row>
    <row r="355" spans="1:8" x14ac:dyDescent="0.25">
      <c r="A355" t="s">
        <v>68</v>
      </c>
      <c r="B355" t="s">
        <v>73</v>
      </c>
      <c r="C355" t="s">
        <v>677</v>
      </c>
      <c r="D355" t="s">
        <v>991</v>
      </c>
      <c r="E355" t="s">
        <v>73</v>
      </c>
      <c r="F355" t="s">
        <v>2357</v>
      </c>
      <c r="G355" t="s">
        <v>2037</v>
      </c>
      <c r="H355" t="s">
        <v>2038</v>
      </c>
    </row>
    <row r="356" spans="1:8" x14ac:dyDescent="0.25">
      <c r="A356" t="s">
        <v>68</v>
      </c>
      <c r="B356" t="s">
        <v>74</v>
      </c>
      <c r="C356" t="s">
        <v>679</v>
      </c>
      <c r="D356" t="s">
        <v>992</v>
      </c>
      <c r="E356" t="s">
        <v>74</v>
      </c>
      <c r="F356" t="s">
        <v>2358</v>
      </c>
      <c r="G356" t="s">
        <v>2037</v>
      </c>
      <c r="H356" t="s">
        <v>2038</v>
      </c>
    </row>
    <row r="357" spans="1:8" x14ac:dyDescent="0.25">
      <c r="A357" t="s">
        <v>68</v>
      </c>
      <c r="B357" t="s">
        <v>75</v>
      </c>
      <c r="C357" t="s">
        <v>671</v>
      </c>
      <c r="D357" t="s">
        <v>993</v>
      </c>
      <c r="E357" t="s">
        <v>75</v>
      </c>
      <c r="F357" t="s">
        <v>2359</v>
      </c>
      <c r="G357" t="s">
        <v>2037</v>
      </c>
      <c r="H357" t="s">
        <v>2038</v>
      </c>
    </row>
    <row r="358" spans="1:8" x14ac:dyDescent="0.25">
      <c r="A358" t="s">
        <v>68</v>
      </c>
      <c r="B358" t="s">
        <v>76</v>
      </c>
      <c r="C358" t="s">
        <v>671</v>
      </c>
      <c r="D358" t="s">
        <v>994</v>
      </c>
      <c r="E358" t="s">
        <v>76</v>
      </c>
      <c r="F358" t="s">
        <v>2360</v>
      </c>
      <c r="G358" t="s">
        <v>2037</v>
      </c>
      <c r="H358" t="s">
        <v>2038</v>
      </c>
    </row>
    <row r="359" spans="1:8" x14ac:dyDescent="0.25">
      <c r="A359" t="s">
        <v>68</v>
      </c>
      <c r="B359" t="s">
        <v>8</v>
      </c>
      <c r="C359" t="s">
        <v>671</v>
      </c>
      <c r="D359" t="s">
        <v>70</v>
      </c>
      <c r="E359" t="s">
        <v>70</v>
      </c>
      <c r="F359" t="s">
        <v>2361</v>
      </c>
      <c r="G359" t="s">
        <v>2037</v>
      </c>
      <c r="H359" t="s">
        <v>2038</v>
      </c>
    </row>
    <row r="360" spans="1:8" x14ac:dyDescent="0.25">
      <c r="A360" t="s">
        <v>68</v>
      </c>
      <c r="B360" t="s">
        <v>77</v>
      </c>
      <c r="C360" t="s">
        <v>683</v>
      </c>
      <c r="D360" t="s">
        <v>995</v>
      </c>
      <c r="E360" t="s">
        <v>77</v>
      </c>
      <c r="F360" t="s">
        <v>2362</v>
      </c>
      <c r="G360" t="s">
        <v>2037</v>
      </c>
      <c r="H360" t="s">
        <v>2038</v>
      </c>
    </row>
    <row r="361" spans="1:8" x14ac:dyDescent="0.25">
      <c r="A361" t="s">
        <v>68</v>
      </c>
      <c r="B361" t="s">
        <v>26</v>
      </c>
      <c r="C361" t="s">
        <v>685</v>
      </c>
      <c r="D361" t="s">
        <v>996</v>
      </c>
      <c r="E361" t="s">
        <v>687</v>
      </c>
      <c r="F361" t="s">
        <v>2363</v>
      </c>
      <c r="G361" t="s">
        <v>2037</v>
      </c>
      <c r="H361" t="s">
        <v>2038</v>
      </c>
    </row>
    <row r="362" spans="1:8" x14ac:dyDescent="0.25">
      <c r="A362" t="s">
        <v>62</v>
      </c>
      <c r="B362" t="s">
        <v>27</v>
      </c>
      <c r="C362" t="s">
        <v>688</v>
      </c>
      <c r="D362" t="s">
        <v>997</v>
      </c>
      <c r="E362" t="s">
        <v>997</v>
      </c>
      <c r="F362" t="s">
        <v>2364</v>
      </c>
      <c r="G362" t="s">
        <v>2037</v>
      </c>
      <c r="H362" t="s">
        <v>2038</v>
      </c>
    </row>
    <row r="363" spans="1:8" x14ac:dyDescent="0.25">
      <c r="A363" t="s">
        <v>63</v>
      </c>
      <c r="B363" t="s">
        <v>28</v>
      </c>
      <c r="C363" t="s">
        <v>690</v>
      </c>
      <c r="D363" t="s">
        <v>998</v>
      </c>
      <c r="E363" t="s">
        <v>692</v>
      </c>
      <c r="F363" t="s">
        <v>2365</v>
      </c>
      <c r="G363" t="s">
        <v>2037</v>
      </c>
      <c r="H363" t="s">
        <v>2038</v>
      </c>
    </row>
    <row r="364" spans="1:8" x14ac:dyDescent="0.25">
      <c r="A364" t="s">
        <v>63</v>
      </c>
      <c r="B364" t="s">
        <v>29</v>
      </c>
      <c r="C364" t="s">
        <v>693</v>
      </c>
      <c r="F364" t="s">
        <v>2366</v>
      </c>
      <c r="G364" t="s">
        <v>2037</v>
      </c>
      <c r="H364" t="s">
        <v>2038</v>
      </c>
    </row>
    <row r="365" spans="1:8" x14ac:dyDescent="0.25">
      <c r="A365" t="s">
        <v>70</v>
      </c>
      <c r="B365" t="s">
        <v>70</v>
      </c>
      <c r="D365" t="s">
        <v>999</v>
      </c>
      <c r="E365" t="s">
        <v>1000</v>
      </c>
      <c r="F365" t="s">
        <v>2079</v>
      </c>
    </row>
    <row r="366" spans="1:8" x14ac:dyDescent="0.25">
      <c r="A366" t="s">
        <v>78</v>
      </c>
      <c r="B366" t="s">
        <v>31</v>
      </c>
      <c r="C366" t="s">
        <v>694</v>
      </c>
      <c r="D366" t="s">
        <v>1001</v>
      </c>
      <c r="E366" t="s">
        <v>31</v>
      </c>
      <c r="F366" t="s">
        <v>2367</v>
      </c>
      <c r="G366" t="s">
        <v>2037</v>
      </c>
      <c r="H366" t="s">
        <v>2038</v>
      </c>
    </row>
    <row r="367" spans="1:8" x14ac:dyDescent="0.25">
      <c r="A367" t="s">
        <v>78</v>
      </c>
      <c r="B367" t="s">
        <v>17</v>
      </c>
      <c r="C367" t="s">
        <v>696</v>
      </c>
      <c r="D367" t="s">
        <v>1002</v>
      </c>
      <c r="E367" t="s">
        <v>17</v>
      </c>
      <c r="F367" t="s">
        <v>2368</v>
      </c>
      <c r="G367" t="s">
        <v>2037</v>
      </c>
      <c r="H367" t="s">
        <v>2038</v>
      </c>
    </row>
    <row r="368" spans="1:8" x14ac:dyDescent="0.25">
      <c r="A368" t="s">
        <v>78</v>
      </c>
      <c r="B368" t="s">
        <v>16</v>
      </c>
      <c r="C368" t="s">
        <v>698</v>
      </c>
      <c r="D368" t="s">
        <v>1003</v>
      </c>
      <c r="E368" t="s">
        <v>16</v>
      </c>
      <c r="F368" t="s">
        <v>2369</v>
      </c>
      <c r="G368" t="s">
        <v>2037</v>
      </c>
      <c r="H368" t="s">
        <v>2038</v>
      </c>
    </row>
    <row r="369" spans="1:8" x14ac:dyDescent="0.25">
      <c r="A369" t="s">
        <v>78</v>
      </c>
      <c r="B369" t="s">
        <v>32</v>
      </c>
      <c r="C369" t="s">
        <v>700</v>
      </c>
      <c r="D369" t="s">
        <v>1004</v>
      </c>
      <c r="E369" t="s">
        <v>702</v>
      </c>
      <c r="F369" t="s">
        <v>2370</v>
      </c>
      <c r="G369" t="s">
        <v>2037</v>
      </c>
      <c r="H369" t="s">
        <v>2038</v>
      </c>
    </row>
    <row r="370" spans="1:8" x14ac:dyDescent="0.25">
      <c r="A370" t="s">
        <v>78</v>
      </c>
      <c r="B370" t="s">
        <v>33</v>
      </c>
      <c r="C370" t="s">
        <v>703</v>
      </c>
      <c r="D370" t="s">
        <v>1005</v>
      </c>
      <c r="E370" t="s">
        <v>705</v>
      </c>
      <c r="F370" t="s">
        <v>2371</v>
      </c>
      <c r="G370" t="s">
        <v>2037</v>
      </c>
      <c r="H370" t="s">
        <v>2038</v>
      </c>
    </row>
    <row r="371" spans="1:8" x14ac:dyDescent="0.25">
      <c r="A371" t="s">
        <v>78</v>
      </c>
      <c r="B371" t="s">
        <v>79</v>
      </c>
      <c r="C371" t="s">
        <v>706</v>
      </c>
      <c r="D371" t="s">
        <v>1006</v>
      </c>
      <c r="E371" t="s">
        <v>708</v>
      </c>
      <c r="F371" t="s">
        <v>2372</v>
      </c>
      <c r="G371" t="s">
        <v>2037</v>
      </c>
      <c r="H371" t="s">
        <v>2038</v>
      </c>
    </row>
    <row r="372" spans="1:8" x14ac:dyDescent="0.25">
      <c r="A372" t="s">
        <v>78</v>
      </c>
      <c r="B372" t="s">
        <v>80</v>
      </c>
      <c r="C372" t="s">
        <v>709</v>
      </c>
      <c r="D372" t="s">
        <v>1007</v>
      </c>
      <c r="E372" t="s">
        <v>711</v>
      </c>
      <c r="F372" t="s">
        <v>2373</v>
      </c>
      <c r="G372" t="s">
        <v>2037</v>
      </c>
      <c r="H372" t="s">
        <v>2038</v>
      </c>
    </row>
    <row r="373" spans="1:8" x14ac:dyDescent="0.25">
      <c r="A373" t="s">
        <v>78</v>
      </c>
      <c r="B373" t="s">
        <v>81</v>
      </c>
      <c r="C373" t="s">
        <v>712</v>
      </c>
      <c r="D373" t="s">
        <v>1008</v>
      </c>
      <c r="E373" t="s">
        <v>714</v>
      </c>
      <c r="F373" t="s">
        <v>2374</v>
      </c>
      <c r="G373" t="s">
        <v>2037</v>
      </c>
      <c r="H373" t="s">
        <v>2038</v>
      </c>
    </row>
    <row r="374" spans="1:8" x14ac:dyDescent="0.25">
      <c r="A374" t="s">
        <v>78</v>
      </c>
      <c r="B374" t="s">
        <v>82</v>
      </c>
      <c r="C374" t="s">
        <v>715</v>
      </c>
      <c r="D374" t="s">
        <v>1009</v>
      </c>
      <c r="E374" t="s">
        <v>717</v>
      </c>
      <c r="F374" t="s">
        <v>2375</v>
      </c>
      <c r="G374" t="s">
        <v>2037</v>
      </c>
      <c r="H374" t="s">
        <v>2038</v>
      </c>
    </row>
    <row r="375" spans="1:8" x14ac:dyDescent="0.25">
      <c r="A375" t="s">
        <v>78</v>
      </c>
      <c r="B375" t="s">
        <v>83</v>
      </c>
      <c r="C375" t="s">
        <v>718</v>
      </c>
      <c r="D375" t="s">
        <v>1010</v>
      </c>
      <c r="E375" t="s">
        <v>720</v>
      </c>
      <c r="F375" t="s">
        <v>2376</v>
      </c>
      <c r="G375" t="s">
        <v>2037</v>
      </c>
      <c r="H375" t="s">
        <v>2038</v>
      </c>
    </row>
    <row r="376" spans="1:8" x14ac:dyDescent="0.25">
      <c r="A376" t="s">
        <v>78</v>
      </c>
      <c r="B376" t="s">
        <v>8</v>
      </c>
      <c r="C376" t="s">
        <v>721</v>
      </c>
      <c r="D376" t="s">
        <v>1011</v>
      </c>
      <c r="E376" t="s">
        <v>645</v>
      </c>
      <c r="F376" t="s">
        <v>2377</v>
      </c>
      <c r="G376" t="s">
        <v>2037</v>
      </c>
      <c r="H376" t="s">
        <v>2038</v>
      </c>
    </row>
    <row r="377" spans="1:8" x14ac:dyDescent="0.25">
      <c r="A377" t="s">
        <v>78</v>
      </c>
      <c r="B377" t="s">
        <v>8</v>
      </c>
      <c r="C377" t="s">
        <v>723</v>
      </c>
      <c r="D377" t="s">
        <v>1012</v>
      </c>
      <c r="E377" t="s">
        <v>660</v>
      </c>
      <c r="F377" t="s">
        <v>2378</v>
      </c>
      <c r="G377" t="s">
        <v>2037</v>
      </c>
      <c r="H377" t="s">
        <v>2038</v>
      </c>
    </row>
    <row r="378" spans="1:8" x14ac:dyDescent="0.25">
      <c r="A378" t="s">
        <v>78</v>
      </c>
      <c r="B378" t="s">
        <v>39</v>
      </c>
      <c r="C378" t="s">
        <v>725</v>
      </c>
      <c r="D378" t="s">
        <v>1013</v>
      </c>
      <c r="E378" t="s">
        <v>39</v>
      </c>
      <c r="F378" t="s">
        <v>2379</v>
      </c>
      <c r="G378" t="s">
        <v>2037</v>
      </c>
      <c r="H378" t="s">
        <v>2038</v>
      </c>
    </row>
    <row r="379" spans="1:8" x14ac:dyDescent="0.25">
      <c r="A379" t="s">
        <v>78</v>
      </c>
      <c r="B379" t="s">
        <v>8</v>
      </c>
      <c r="C379" t="s">
        <v>727</v>
      </c>
    </row>
    <row r="380" spans="1:8" x14ac:dyDescent="0.25">
      <c r="A380" t="s">
        <v>78</v>
      </c>
      <c r="B380" t="s">
        <v>40</v>
      </c>
      <c r="C380" t="s">
        <v>728</v>
      </c>
      <c r="D380" t="s">
        <v>1014</v>
      </c>
      <c r="E380" t="s">
        <v>687</v>
      </c>
      <c r="F380" t="s">
        <v>2380</v>
      </c>
      <c r="G380" t="s">
        <v>2037</v>
      </c>
      <c r="H380" t="s">
        <v>2038</v>
      </c>
    </row>
    <row r="381" spans="1:8" x14ac:dyDescent="0.25">
      <c r="A381" t="s">
        <v>84</v>
      </c>
      <c r="B381" t="s">
        <v>3</v>
      </c>
      <c r="C381" t="s">
        <v>633</v>
      </c>
      <c r="D381" t="s">
        <v>1015</v>
      </c>
      <c r="E381" t="s">
        <v>635</v>
      </c>
      <c r="F381" t="s">
        <v>2381</v>
      </c>
      <c r="G381" t="s">
        <v>2037</v>
      </c>
      <c r="H381" t="s">
        <v>2038</v>
      </c>
    </row>
    <row r="382" spans="1:8" x14ac:dyDescent="0.25">
      <c r="A382" t="s">
        <v>85</v>
      </c>
      <c r="B382" t="s">
        <v>5</v>
      </c>
      <c r="C382" t="s">
        <v>636</v>
      </c>
      <c r="D382" t="s">
        <v>1016</v>
      </c>
      <c r="E382" t="s">
        <v>638</v>
      </c>
      <c r="F382" t="s">
        <v>2382</v>
      </c>
      <c r="G382" t="s">
        <v>2037</v>
      </c>
      <c r="H382" t="s">
        <v>2038</v>
      </c>
    </row>
    <row r="383" spans="1:8" x14ac:dyDescent="0.25">
      <c r="A383" t="s">
        <v>85</v>
      </c>
      <c r="B383" t="s">
        <v>86</v>
      </c>
      <c r="C383" t="s">
        <v>639</v>
      </c>
      <c r="D383" t="s">
        <v>1017</v>
      </c>
      <c r="E383" t="s">
        <v>86</v>
      </c>
      <c r="F383" t="s">
        <v>2383</v>
      </c>
      <c r="G383" t="s">
        <v>2037</v>
      </c>
      <c r="H383" t="s">
        <v>2038</v>
      </c>
    </row>
    <row r="384" spans="1:8" x14ac:dyDescent="0.25">
      <c r="A384" t="s">
        <v>85</v>
      </c>
      <c r="B384" t="s">
        <v>87</v>
      </c>
      <c r="C384" t="s">
        <v>641</v>
      </c>
      <c r="D384" t="s">
        <v>1018</v>
      </c>
      <c r="E384" t="s">
        <v>87</v>
      </c>
      <c r="F384" t="s">
        <v>2384</v>
      </c>
      <c r="G384" t="s">
        <v>2037</v>
      </c>
      <c r="H384" t="s">
        <v>2038</v>
      </c>
    </row>
    <row r="385" spans="1:8" x14ac:dyDescent="0.25">
      <c r="A385" t="s">
        <v>85</v>
      </c>
      <c r="B385" t="s">
        <v>8</v>
      </c>
      <c r="C385" t="s">
        <v>643</v>
      </c>
      <c r="D385" t="s">
        <v>1019</v>
      </c>
      <c r="E385" t="s">
        <v>645</v>
      </c>
      <c r="F385" t="s">
        <v>2385</v>
      </c>
      <c r="G385" t="s">
        <v>2037</v>
      </c>
      <c r="H385" t="s">
        <v>2038</v>
      </c>
    </row>
    <row r="386" spans="1:8" x14ac:dyDescent="0.25">
      <c r="A386" t="s">
        <v>85</v>
      </c>
      <c r="B386" t="s">
        <v>9</v>
      </c>
      <c r="C386" t="s">
        <v>646</v>
      </c>
      <c r="D386" t="s">
        <v>647</v>
      </c>
      <c r="E386" t="s">
        <v>647</v>
      </c>
      <c r="F386" t="s">
        <v>2386</v>
      </c>
      <c r="G386" t="s">
        <v>2037</v>
      </c>
      <c r="H386" t="s">
        <v>2038</v>
      </c>
    </row>
    <row r="387" spans="1:8" x14ac:dyDescent="0.25">
      <c r="A387" t="s">
        <v>85</v>
      </c>
      <c r="B387" t="s">
        <v>88</v>
      </c>
      <c r="C387" t="s">
        <v>648</v>
      </c>
      <c r="D387" t="s">
        <v>1020</v>
      </c>
      <c r="E387" t="s">
        <v>66</v>
      </c>
      <c r="F387" t="s">
        <v>2387</v>
      </c>
      <c r="G387" t="s">
        <v>2037</v>
      </c>
      <c r="H387" t="s">
        <v>2038</v>
      </c>
    </row>
    <row r="388" spans="1:8" x14ac:dyDescent="0.25">
      <c r="A388" t="s">
        <v>85</v>
      </c>
      <c r="B388" t="s">
        <v>11</v>
      </c>
      <c r="C388" t="s">
        <v>650</v>
      </c>
      <c r="D388" t="s">
        <v>1021</v>
      </c>
      <c r="E388" t="s">
        <v>652</v>
      </c>
      <c r="F388" t="s">
        <v>2388</v>
      </c>
      <c r="G388" t="s">
        <v>2037</v>
      </c>
      <c r="H388" t="s">
        <v>2038</v>
      </c>
    </row>
    <row r="389" spans="1:8" x14ac:dyDescent="0.25">
      <c r="A389" t="s">
        <v>85</v>
      </c>
      <c r="B389" t="s">
        <v>12</v>
      </c>
      <c r="C389" t="s">
        <v>653</v>
      </c>
      <c r="D389" t="s">
        <v>1022</v>
      </c>
      <c r="E389" t="s">
        <v>655</v>
      </c>
      <c r="F389" t="s">
        <v>2389</v>
      </c>
      <c r="G389" t="s">
        <v>2037</v>
      </c>
      <c r="H389" t="s">
        <v>2038</v>
      </c>
    </row>
    <row r="390" spans="1:8" x14ac:dyDescent="0.25">
      <c r="A390" t="s">
        <v>85</v>
      </c>
      <c r="B390" t="s">
        <v>89</v>
      </c>
      <c r="C390" t="s">
        <v>656</v>
      </c>
      <c r="D390" t="s">
        <v>1023</v>
      </c>
      <c r="E390" t="s">
        <v>67</v>
      </c>
      <c r="F390" t="s">
        <v>2390</v>
      </c>
      <c r="G390" t="s">
        <v>2037</v>
      </c>
      <c r="H390" t="s">
        <v>2038</v>
      </c>
    </row>
    <row r="391" spans="1:8" x14ac:dyDescent="0.25">
      <c r="A391" t="s">
        <v>85</v>
      </c>
      <c r="B391" t="s">
        <v>8</v>
      </c>
      <c r="C391" t="s">
        <v>658</v>
      </c>
      <c r="D391" t="s">
        <v>1024</v>
      </c>
      <c r="E391" t="s">
        <v>660</v>
      </c>
      <c r="F391" t="s">
        <v>2391</v>
      </c>
      <c r="G391" t="s">
        <v>2037</v>
      </c>
      <c r="H391" t="s">
        <v>2038</v>
      </c>
    </row>
    <row r="392" spans="1:8" x14ac:dyDescent="0.25">
      <c r="A392" t="s">
        <v>85</v>
      </c>
      <c r="B392" t="s">
        <v>14</v>
      </c>
      <c r="C392" t="s">
        <v>661</v>
      </c>
      <c r="D392" t="s">
        <v>1025</v>
      </c>
      <c r="E392" t="s">
        <v>687</v>
      </c>
      <c r="F392" t="s">
        <v>2392</v>
      </c>
      <c r="G392" t="s">
        <v>2037</v>
      </c>
      <c r="H392" t="s">
        <v>2038</v>
      </c>
    </row>
    <row r="393" spans="1:8" x14ac:dyDescent="0.25">
      <c r="A393" t="s">
        <v>90</v>
      </c>
      <c r="B393" t="s">
        <v>16</v>
      </c>
      <c r="C393" t="s">
        <v>664</v>
      </c>
      <c r="D393" t="s">
        <v>1026</v>
      </c>
      <c r="E393" t="s">
        <v>16</v>
      </c>
      <c r="F393" t="s">
        <v>2393</v>
      </c>
      <c r="G393" t="s">
        <v>2037</v>
      </c>
      <c r="H393" t="s">
        <v>2038</v>
      </c>
    </row>
    <row r="394" spans="1:8" x14ac:dyDescent="0.25">
      <c r="A394" t="s">
        <v>90</v>
      </c>
      <c r="B394" t="s">
        <v>17</v>
      </c>
      <c r="C394" t="s">
        <v>666</v>
      </c>
      <c r="D394" t="s">
        <v>1027</v>
      </c>
      <c r="E394" t="s">
        <v>17</v>
      </c>
      <c r="F394" t="s">
        <v>2394</v>
      </c>
      <c r="G394" t="s">
        <v>2037</v>
      </c>
      <c r="H394" t="s">
        <v>2038</v>
      </c>
    </row>
    <row r="395" spans="1:8" x14ac:dyDescent="0.25">
      <c r="A395" t="s">
        <v>90</v>
      </c>
      <c r="B395" t="s">
        <v>91</v>
      </c>
      <c r="C395" t="s">
        <v>668</v>
      </c>
      <c r="D395" t="s">
        <v>1028</v>
      </c>
      <c r="E395" t="s">
        <v>670</v>
      </c>
      <c r="F395" t="s">
        <v>2395</v>
      </c>
      <c r="G395" t="s">
        <v>2037</v>
      </c>
      <c r="H395" t="s">
        <v>2038</v>
      </c>
    </row>
    <row r="396" spans="1:8" x14ac:dyDescent="0.25">
      <c r="A396" t="s">
        <v>90</v>
      </c>
      <c r="B396" t="s">
        <v>8</v>
      </c>
      <c r="C396" t="s">
        <v>671</v>
      </c>
      <c r="D396" t="s">
        <v>1029</v>
      </c>
      <c r="E396" t="s">
        <v>8</v>
      </c>
      <c r="F396" t="s">
        <v>2396</v>
      </c>
      <c r="G396" t="s">
        <v>2037</v>
      </c>
      <c r="H396" t="s">
        <v>2038</v>
      </c>
    </row>
    <row r="397" spans="1:8" x14ac:dyDescent="0.25">
      <c r="A397" t="s">
        <v>90</v>
      </c>
      <c r="B397" t="s">
        <v>92</v>
      </c>
      <c r="C397" t="s">
        <v>673</v>
      </c>
      <c r="D397" t="s">
        <v>1030</v>
      </c>
      <c r="E397" t="s">
        <v>92</v>
      </c>
      <c r="F397" t="s">
        <v>2397</v>
      </c>
      <c r="G397" t="s">
        <v>2037</v>
      </c>
      <c r="H397" t="s">
        <v>2038</v>
      </c>
    </row>
    <row r="398" spans="1:8" x14ac:dyDescent="0.25">
      <c r="A398" t="s">
        <v>90</v>
      </c>
      <c r="B398" t="s">
        <v>93</v>
      </c>
      <c r="C398" t="s">
        <v>675</v>
      </c>
      <c r="D398" t="s">
        <v>1031</v>
      </c>
      <c r="E398" t="s">
        <v>93</v>
      </c>
      <c r="F398" t="s">
        <v>2398</v>
      </c>
      <c r="G398" t="s">
        <v>2037</v>
      </c>
      <c r="H398" t="s">
        <v>2038</v>
      </c>
    </row>
    <row r="399" spans="1:8" x14ac:dyDescent="0.25">
      <c r="A399" t="s">
        <v>90</v>
      </c>
      <c r="B399" t="s">
        <v>94</v>
      </c>
      <c r="C399" t="s">
        <v>677</v>
      </c>
      <c r="D399" t="s">
        <v>1032</v>
      </c>
      <c r="E399" t="s">
        <v>94</v>
      </c>
      <c r="F399" t="s">
        <v>2399</v>
      </c>
      <c r="G399" t="s">
        <v>2037</v>
      </c>
      <c r="H399" t="s">
        <v>2038</v>
      </c>
    </row>
    <row r="400" spans="1:8" x14ac:dyDescent="0.25">
      <c r="A400" t="s">
        <v>90</v>
      </c>
      <c r="B400" t="s">
        <v>95</v>
      </c>
      <c r="C400" t="s">
        <v>679</v>
      </c>
      <c r="D400" t="s">
        <v>1033</v>
      </c>
      <c r="E400" t="s">
        <v>95</v>
      </c>
      <c r="F400" t="s">
        <v>2400</v>
      </c>
      <c r="G400" t="s">
        <v>2037</v>
      </c>
      <c r="H400" t="s">
        <v>2038</v>
      </c>
    </row>
    <row r="401" spans="1:8" x14ac:dyDescent="0.25">
      <c r="A401" t="s">
        <v>90</v>
      </c>
      <c r="B401" t="s">
        <v>96</v>
      </c>
      <c r="C401" t="s">
        <v>671</v>
      </c>
      <c r="D401" t="s">
        <v>1034</v>
      </c>
      <c r="E401" t="s">
        <v>96</v>
      </c>
      <c r="F401" t="s">
        <v>2401</v>
      </c>
      <c r="G401" t="s">
        <v>2037</v>
      </c>
      <c r="H401" t="s">
        <v>2038</v>
      </c>
    </row>
    <row r="402" spans="1:8" x14ac:dyDescent="0.25">
      <c r="A402" t="s">
        <v>90</v>
      </c>
      <c r="B402" t="s">
        <v>97</v>
      </c>
      <c r="C402" t="s">
        <v>671</v>
      </c>
      <c r="D402" t="s">
        <v>1035</v>
      </c>
      <c r="E402" t="s">
        <v>97</v>
      </c>
      <c r="F402" t="s">
        <v>2402</v>
      </c>
      <c r="G402" t="s">
        <v>2037</v>
      </c>
      <c r="H402" t="s">
        <v>2038</v>
      </c>
    </row>
    <row r="403" spans="1:8" x14ac:dyDescent="0.25">
      <c r="A403" t="s">
        <v>90</v>
      </c>
      <c r="B403" t="s">
        <v>98</v>
      </c>
      <c r="C403" t="s">
        <v>683</v>
      </c>
      <c r="D403" t="s">
        <v>1036</v>
      </c>
      <c r="E403" t="s">
        <v>77</v>
      </c>
      <c r="F403" t="s">
        <v>2403</v>
      </c>
      <c r="G403" t="s">
        <v>2037</v>
      </c>
      <c r="H403" t="s">
        <v>2038</v>
      </c>
    </row>
    <row r="404" spans="1:8" x14ac:dyDescent="0.25">
      <c r="A404" t="s">
        <v>90</v>
      </c>
      <c r="B404" t="s">
        <v>26</v>
      </c>
      <c r="C404" t="s">
        <v>685</v>
      </c>
      <c r="D404" t="s">
        <v>1037</v>
      </c>
      <c r="E404" t="s">
        <v>687</v>
      </c>
      <c r="F404" t="s">
        <v>2404</v>
      </c>
      <c r="G404" t="s">
        <v>2037</v>
      </c>
      <c r="H404" t="s">
        <v>2038</v>
      </c>
    </row>
    <row r="405" spans="1:8" x14ac:dyDescent="0.25">
      <c r="A405" t="s">
        <v>84</v>
      </c>
      <c r="B405" t="s">
        <v>27</v>
      </c>
      <c r="C405" t="s">
        <v>688</v>
      </c>
      <c r="D405" t="s">
        <v>1038</v>
      </c>
      <c r="E405" t="s">
        <v>1038</v>
      </c>
      <c r="F405" t="s">
        <v>2405</v>
      </c>
      <c r="G405" t="s">
        <v>2037</v>
      </c>
      <c r="H405" t="s">
        <v>2038</v>
      </c>
    </row>
    <row r="406" spans="1:8" x14ac:dyDescent="0.25">
      <c r="A406" t="s">
        <v>85</v>
      </c>
      <c r="B406" t="s">
        <v>28</v>
      </c>
      <c r="C406" t="s">
        <v>690</v>
      </c>
      <c r="D406" t="s">
        <v>1039</v>
      </c>
      <c r="E406" t="s">
        <v>692</v>
      </c>
      <c r="F406" t="s">
        <v>2406</v>
      </c>
      <c r="G406" t="s">
        <v>2037</v>
      </c>
      <c r="H406" t="s">
        <v>2038</v>
      </c>
    </row>
    <row r="407" spans="1:8" x14ac:dyDescent="0.25">
      <c r="A407" t="s">
        <v>85</v>
      </c>
      <c r="B407" t="s">
        <v>29</v>
      </c>
      <c r="C407" t="s">
        <v>693</v>
      </c>
      <c r="F407" t="s">
        <v>2407</v>
      </c>
      <c r="G407" t="s">
        <v>2037</v>
      </c>
      <c r="H407" t="s">
        <v>2038</v>
      </c>
    </row>
    <row r="408" spans="1:8" x14ac:dyDescent="0.25">
      <c r="A408" t="s">
        <v>70</v>
      </c>
      <c r="B408" t="s">
        <v>70</v>
      </c>
      <c r="D408" t="s">
        <v>1040</v>
      </c>
      <c r="E408" t="s">
        <v>1000</v>
      </c>
      <c r="F408" t="s">
        <v>2079</v>
      </c>
    </row>
    <row r="409" spans="1:8" x14ac:dyDescent="0.25">
      <c r="A409" t="s">
        <v>99</v>
      </c>
      <c r="B409" t="s">
        <v>31</v>
      </c>
      <c r="C409" t="s">
        <v>694</v>
      </c>
      <c r="D409" t="s">
        <v>1041</v>
      </c>
      <c r="E409" t="s">
        <v>31</v>
      </c>
      <c r="F409" t="s">
        <v>2408</v>
      </c>
      <c r="G409" t="s">
        <v>2037</v>
      </c>
      <c r="H409" t="s">
        <v>2038</v>
      </c>
    </row>
    <row r="410" spans="1:8" x14ac:dyDescent="0.25">
      <c r="A410" t="s">
        <v>99</v>
      </c>
      <c r="B410" t="s">
        <v>17</v>
      </c>
      <c r="C410" t="s">
        <v>696</v>
      </c>
      <c r="D410" t="s">
        <v>1042</v>
      </c>
      <c r="E410" t="s">
        <v>17</v>
      </c>
      <c r="F410" t="s">
        <v>2409</v>
      </c>
      <c r="G410" t="s">
        <v>2037</v>
      </c>
      <c r="H410" t="s">
        <v>2038</v>
      </c>
    </row>
    <row r="411" spans="1:8" x14ac:dyDescent="0.25">
      <c r="A411" t="s">
        <v>99</v>
      </c>
      <c r="B411" t="s">
        <v>16</v>
      </c>
      <c r="C411" t="s">
        <v>698</v>
      </c>
      <c r="D411" t="s">
        <v>1043</v>
      </c>
      <c r="E411" t="s">
        <v>16</v>
      </c>
      <c r="F411" t="s">
        <v>2410</v>
      </c>
      <c r="G411" t="s">
        <v>2037</v>
      </c>
      <c r="H411" t="s">
        <v>2038</v>
      </c>
    </row>
    <row r="412" spans="1:8" x14ac:dyDescent="0.25">
      <c r="A412" t="s">
        <v>99</v>
      </c>
      <c r="B412" t="s">
        <v>32</v>
      </c>
      <c r="C412" t="s">
        <v>700</v>
      </c>
      <c r="D412" t="s">
        <v>1044</v>
      </c>
      <c r="E412" t="s">
        <v>702</v>
      </c>
      <c r="F412" t="s">
        <v>2411</v>
      </c>
      <c r="G412" t="s">
        <v>2037</v>
      </c>
      <c r="H412" t="s">
        <v>2038</v>
      </c>
    </row>
    <row r="413" spans="1:8" x14ac:dyDescent="0.25">
      <c r="A413" t="s">
        <v>99</v>
      </c>
      <c r="B413" t="s">
        <v>33</v>
      </c>
      <c r="C413" t="s">
        <v>703</v>
      </c>
      <c r="D413" t="s">
        <v>1045</v>
      </c>
      <c r="E413" t="s">
        <v>705</v>
      </c>
      <c r="F413" t="s">
        <v>2412</v>
      </c>
      <c r="G413" t="s">
        <v>2037</v>
      </c>
      <c r="H413" t="s">
        <v>2038</v>
      </c>
    </row>
    <row r="414" spans="1:8" x14ac:dyDescent="0.25">
      <c r="A414" t="s">
        <v>99</v>
      </c>
      <c r="B414" t="s">
        <v>100</v>
      </c>
      <c r="C414" t="s">
        <v>706</v>
      </c>
      <c r="D414" t="s">
        <v>1046</v>
      </c>
      <c r="E414" t="s">
        <v>708</v>
      </c>
      <c r="F414" t="s">
        <v>2413</v>
      </c>
      <c r="G414" t="s">
        <v>2037</v>
      </c>
      <c r="H414" t="s">
        <v>2038</v>
      </c>
    </row>
    <row r="415" spans="1:8" x14ac:dyDescent="0.25">
      <c r="A415" t="s">
        <v>99</v>
      </c>
      <c r="B415" t="s">
        <v>101</v>
      </c>
      <c r="C415" t="s">
        <v>709</v>
      </c>
      <c r="D415" t="s">
        <v>1047</v>
      </c>
      <c r="E415" t="s">
        <v>711</v>
      </c>
      <c r="F415" t="s">
        <v>2414</v>
      </c>
      <c r="G415" t="s">
        <v>2037</v>
      </c>
      <c r="H415" t="s">
        <v>2038</v>
      </c>
    </row>
    <row r="416" spans="1:8" x14ac:dyDescent="0.25">
      <c r="A416" t="s">
        <v>99</v>
      </c>
      <c r="B416" t="s">
        <v>102</v>
      </c>
      <c r="C416" t="s">
        <v>712</v>
      </c>
      <c r="D416" t="s">
        <v>1048</v>
      </c>
      <c r="E416" t="s">
        <v>714</v>
      </c>
      <c r="F416" t="s">
        <v>2415</v>
      </c>
      <c r="G416" t="s">
        <v>2037</v>
      </c>
      <c r="H416" t="s">
        <v>2038</v>
      </c>
    </row>
    <row r="417" spans="1:8" x14ac:dyDescent="0.25">
      <c r="A417" t="s">
        <v>99</v>
      </c>
      <c r="B417" t="s">
        <v>103</v>
      </c>
      <c r="C417" t="s">
        <v>715</v>
      </c>
      <c r="D417" t="s">
        <v>1049</v>
      </c>
      <c r="E417" t="s">
        <v>717</v>
      </c>
      <c r="F417" t="s">
        <v>2416</v>
      </c>
      <c r="G417" t="s">
        <v>2037</v>
      </c>
      <c r="H417" t="s">
        <v>2038</v>
      </c>
    </row>
    <row r="418" spans="1:8" x14ac:dyDescent="0.25">
      <c r="A418" t="s">
        <v>99</v>
      </c>
      <c r="B418" t="s">
        <v>104</v>
      </c>
      <c r="C418" t="s">
        <v>718</v>
      </c>
      <c r="D418" t="s">
        <v>1050</v>
      </c>
      <c r="E418" t="s">
        <v>720</v>
      </c>
      <c r="F418" t="s">
        <v>2417</v>
      </c>
      <c r="G418" t="s">
        <v>2037</v>
      </c>
      <c r="H418" t="s">
        <v>2038</v>
      </c>
    </row>
    <row r="419" spans="1:8" x14ac:dyDescent="0.25">
      <c r="A419" t="s">
        <v>99</v>
      </c>
      <c r="B419" t="s">
        <v>8</v>
      </c>
      <c r="C419" t="s">
        <v>721</v>
      </c>
      <c r="D419" t="s">
        <v>1051</v>
      </c>
      <c r="E419" t="s">
        <v>645</v>
      </c>
      <c r="F419" t="s">
        <v>2418</v>
      </c>
      <c r="G419" t="s">
        <v>2037</v>
      </c>
      <c r="H419" t="s">
        <v>2038</v>
      </c>
    </row>
    <row r="420" spans="1:8" x14ac:dyDescent="0.25">
      <c r="A420" t="s">
        <v>99</v>
      </c>
      <c r="B420" t="s">
        <v>8</v>
      </c>
      <c r="C420" t="s">
        <v>723</v>
      </c>
      <c r="D420" t="s">
        <v>1052</v>
      </c>
      <c r="E420" t="s">
        <v>660</v>
      </c>
      <c r="F420" t="s">
        <v>2419</v>
      </c>
      <c r="G420" t="s">
        <v>2037</v>
      </c>
      <c r="H420" t="s">
        <v>2038</v>
      </c>
    </row>
    <row r="421" spans="1:8" x14ac:dyDescent="0.25">
      <c r="A421" t="s">
        <v>99</v>
      </c>
      <c r="B421" t="s">
        <v>39</v>
      </c>
      <c r="C421" t="s">
        <v>725</v>
      </c>
      <c r="D421" t="s">
        <v>1053</v>
      </c>
      <c r="E421" t="s">
        <v>39</v>
      </c>
      <c r="F421" t="s">
        <v>2420</v>
      </c>
      <c r="G421" t="s">
        <v>2037</v>
      </c>
      <c r="H421" t="s">
        <v>2038</v>
      </c>
    </row>
    <row r="422" spans="1:8" x14ac:dyDescent="0.25">
      <c r="A422" t="s">
        <v>99</v>
      </c>
      <c r="B422" t="s">
        <v>8</v>
      </c>
      <c r="C422" t="s">
        <v>727</v>
      </c>
      <c r="D422" t="s">
        <v>70</v>
      </c>
      <c r="E422" t="s">
        <v>70</v>
      </c>
      <c r="F422" t="s">
        <v>2079</v>
      </c>
    </row>
    <row r="423" spans="1:8" x14ac:dyDescent="0.25">
      <c r="A423" t="s">
        <v>99</v>
      </c>
      <c r="B423" t="s">
        <v>40</v>
      </c>
      <c r="C423" t="s">
        <v>728</v>
      </c>
      <c r="D423" t="s">
        <v>1054</v>
      </c>
      <c r="E423" t="s">
        <v>687</v>
      </c>
      <c r="F423" t="s">
        <v>2421</v>
      </c>
      <c r="G423" t="s">
        <v>2037</v>
      </c>
      <c r="H423" t="s">
        <v>2038</v>
      </c>
    </row>
    <row r="424" spans="1:8" x14ac:dyDescent="0.25">
      <c r="A424" t="s">
        <v>105</v>
      </c>
      <c r="B424" t="s">
        <v>3</v>
      </c>
      <c r="C424" t="s">
        <v>633</v>
      </c>
      <c r="D424" t="s">
        <v>1055</v>
      </c>
      <c r="E424" t="s">
        <v>635</v>
      </c>
      <c r="F424" t="s">
        <v>2422</v>
      </c>
      <c r="G424" t="s">
        <v>2037</v>
      </c>
      <c r="H424" t="s">
        <v>2038</v>
      </c>
    </row>
    <row r="425" spans="1:8" x14ac:dyDescent="0.25">
      <c r="A425" t="s">
        <v>106</v>
      </c>
      <c r="B425" t="s">
        <v>5</v>
      </c>
      <c r="C425" t="s">
        <v>636</v>
      </c>
      <c r="D425" t="s">
        <v>1056</v>
      </c>
      <c r="E425" t="s">
        <v>638</v>
      </c>
      <c r="F425" t="s">
        <v>2423</v>
      </c>
      <c r="G425" t="s">
        <v>2037</v>
      </c>
      <c r="H425" t="s">
        <v>2038</v>
      </c>
    </row>
    <row r="426" spans="1:8" x14ac:dyDescent="0.25">
      <c r="A426" t="s">
        <v>106</v>
      </c>
      <c r="B426" t="s">
        <v>107</v>
      </c>
      <c r="C426" t="s">
        <v>639</v>
      </c>
      <c r="D426" t="s">
        <v>1057</v>
      </c>
      <c r="E426" t="s">
        <v>107</v>
      </c>
      <c r="F426" t="s">
        <v>2424</v>
      </c>
      <c r="G426" t="s">
        <v>2037</v>
      </c>
      <c r="H426" t="s">
        <v>2038</v>
      </c>
    </row>
    <row r="427" spans="1:8" x14ac:dyDescent="0.25">
      <c r="A427" t="s">
        <v>106</v>
      </c>
      <c r="B427" t="s">
        <v>108</v>
      </c>
      <c r="C427" t="s">
        <v>641</v>
      </c>
      <c r="D427" t="s">
        <v>1058</v>
      </c>
      <c r="E427" t="s">
        <v>108</v>
      </c>
      <c r="F427" t="s">
        <v>2425</v>
      </c>
      <c r="G427" t="s">
        <v>2037</v>
      </c>
      <c r="H427" t="s">
        <v>2038</v>
      </c>
    </row>
    <row r="428" spans="1:8" x14ac:dyDescent="0.25">
      <c r="A428" t="s">
        <v>106</v>
      </c>
      <c r="B428" t="s">
        <v>8</v>
      </c>
      <c r="C428" t="s">
        <v>643</v>
      </c>
      <c r="D428" t="s">
        <v>1059</v>
      </c>
      <c r="E428" t="s">
        <v>645</v>
      </c>
      <c r="F428" t="s">
        <v>2426</v>
      </c>
      <c r="G428" t="s">
        <v>2037</v>
      </c>
      <c r="H428" t="s">
        <v>2038</v>
      </c>
    </row>
    <row r="429" spans="1:8" x14ac:dyDescent="0.25">
      <c r="A429" t="s">
        <v>106</v>
      </c>
      <c r="B429" t="s">
        <v>9</v>
      </c>
      <c r="C429" t="s">
        <v>646</v>
      </c>
      <c r="D429" t="s">
        <v>647</v>
      </c>
      <c r="E429" t="s">
        <v>647</v>
      </c>
      <c r="F429" t="s">
        <v>2427</v>
      </c>
      <c r="G429" t="s">
        <v>2037</v>
      </c>
      <c r="H429" t="s">
        <v>2038</v>
      </c>
    </row>
    <row r="430" spans="1:8" x14ac:dyDescent="0.25">
      <c r="A430" t="s">
        <v>106</v>
      </c>
      <c r="B430" t="s">
        <v>109</v>
      </c>
      <c r="C430" t="s">
        <v>648</v>
      </c>
      <c r="D430" t="s">
        <v>1060</v>
      </c>
      <c r="E430" t="s">
        <v>66</v>
      </c>
      <c r="F430" t="s">
        <v>2428</v>
      </c>
      <c r="G430" t="s">
        <v>2037</v>
      </c>
      <c r="H430" t="s">
        <v>2038</v>
      </c>
    </row>
    <row r="431" spans="1:8" x14ac:dyDescent="0.25">
      <c r="A431" t="s">
        <v>106</v>
      </c>
      <c r="B431" t="s">
        <v>11</v>
      </c>
      <c r="C431" t="s">
        <v>650</v>
      </c>
      <c r="D431" t="s">
        <v>1061</v>
      </c>
      <c r="E431" t="s">
        <v>652</v>
      </c>
      <c r="F431" t="s">
        <v>2429</v>
      </c>
      <c r="G431" t="s">
        <v>2037</v>
      </c>
      <c r="H431" t="s">
        <v>2038</v>
      </c>
    </row>
    <row r="432" spans="1:8" x14ac:dyDescent="0.25">
      <c r="A432" t="s">
        <v>106</v>
      </c>
      <c r="B432" t="s">
        <v>12</v>
      </c>
      <c r="C432" t="s">
        <v>653</v>
      </c>
      <c r="D432" t="s">
        <v>1062</v>
      </c>
      <c r="E432" t="s">
        <v>655</v>
      </c>
      <c r="F432" t="s">
        <v>2430</v>
      </c>
      <c r="G432" t="s">
        <v>2037</v>
      </c>
      <c r="H432" t="s">
        <v>2038</v>
      </c>
    </row>
    <row r="433" spans="1:8" x14ac:dyDescent="0.25">
      <c r="A433" t="s">
        <v>106</v>
      </c>
      <c r="B433" t="s">
        <v>110</v>
      </c>
      <c r="C433" t="s">
        <v>656</v>
      </c>
      <c r="D433" t="s">
        <v>1063</v>
      </c>
      <c r="E433" t="s">
        <v>67</v>
      </c>
      <c r="F433" t="s">
        <v>2431</v>
      </c>
      <c r="G433" t="s">
        <v>2037</v>
      </c>
      <c r="H433" t="s">
        <v>2038</v>
      </c>
    </row>
    <row r="434" spans="1:8" x14ac:dyDescent="0.25">
      <c r="A434" t="s">
        <v>106</v>
      </c>
      <c r="B434" t="s">
        <v>8</v>
      </c>
      <c r="C434" t="s">
        <v>658</v>
      </c>
      <c r="D434" t="s">
        <v>1063</v>
      </c>
      <c r="E434" t="s">
        <v>660</v>
      </c>
      <c r="F434" t="s">
        <v>2432</v>
      </c>
      <c r="G434" t="s">
        <v>2037</v>
      </c>
      <c r="H434" t="s">
        <v>2038</v>
      </c>
    </row>
    <row r="435" spans="1:8" x14ac:dyDescent="0.25">
      <c r="A435" t="s">
        <v>106</v>
      </c>
      <c r="B435" t="s">
        <v>14</v>
      </c>
      <c r="C435" t="s">
        <v>661</v>
      </c>
      <c r="D435" t="s">
        <v>1064</v>
      </c>
      <c r="E435" t="s">
        <v>687</v>
      </c>
      <c r="F435" t="s">
        <v>2433</v>
      </c>
      <c r="G435" t="s">
        <v>2037</v>
      </c>
      <c r="H435" t="s">
        <v>2038</v>
      </c>
    </row>
    <row r="436" spans="1:8" x14ac:dyDescent="0.25">
      <c r="A436" t="s">
        <v>111</v>
      </c>
      <c r="B436" t="s">
        <v>16</v>
      </c>
      <c r="C436" t="s">
        <v>664</v>
      </c>
      <c r="D436" t="s">
        <v>1065</v>
      </c>
      <c r="E436" t="s">
        <v>16</v>
      </c>
      <c r="F436" t="s">
        <v>2434</v>
      </c>
      <c r="G436" t="s">
        <v>2037</v>
      </c>
      <c r="H436" t="s">
        <v>2038</v>
      </c>
    </row>
    <row r="437" spans="1:8" x14ac:dyDescent="0.25">
      <c r="A437" t="s">
        <v>111</v>
      </c>
      <c r="B437" t="s">
        <v>17</v>
      </c>
      <c r="C437" t="s">
        <v>666</v>
      </c>
      <c r="D437" t="s">
        <v>1066</v>
      </c>
      <c r="E437" t="s">
        <v>17</v>
      </c>
      <c r="F437" t="s">
        <v>2435</v>
      </c>
      <c r="G437" t="s">
        <v>2037</v>
      </c>
      <c r="H437" t="s">
        <v>2038</v>
      </c>
    </row>
    <row r="438" spans="1:8" x14ac:dyDescent="0.25">
      <c r="A438" t="s">
        <v>111</v>
      </c>
      <c r="B438" t="s">
        <v>112</v>
      </c>
      <c r="C438" t="s">
        <v>668</v>
      </c>
      <c r="D438" t="s">
        <v>1067</v>
      </c>
      <c r="E438" t="s">
        <v>670</v>
      </c>
      <c r="F438" t="s">
        <v>2436</v>
      </c>
      <c r="G438" t="s">
        <v>2037</v>
      </c>
      <c r="H438" t="s">
        <v>2038</v>
      </c>
    </row>
    <row r="439" spans="1:8" x14ac:dyDescent="0.25">
      <c r="A439" t="s">
        <v>111</v>
      </c>
      <c r="B439" t="s">
        <v>8</v>
      </c>
      <c r="C439" t="s">
        <v>671</v>
      </c>
      <c r="D439" t="s">
        <v>1068</v>
      </c>
      <c r="E439" t="s">
        <v>8</v>
      </c>
      <c r="F439" t="s">
        <v>2437</v>
      </c>
      <c r="G439" t="s">
        <v>2037</v>
      </c>
      <c r="H439" t="s">
        <v>2038</v>
      </c>
    </row>
    <row r="440" spans="1:8" x14ac:dyDescent="0.25">
      <c r="A440" t="s">
        <v>111</v>
      </c>
      <c r="B440" t="s">
        <v>113</v>
      </c>
      <c r="C440" t="s">
        <v>673</v>
      </c>
      <c r="D440" t="s">
        <v>1069</v>
      </c>
      <c r="E440" t="s">
        <v>71</v>
      </c>
      <c r="F440" t="s">
        <v>2438</v>
      </c>
      <c r="G440" t="s">
        <v>2037</v>
      </c>
      <c r="H440" t="s">
        <v>2038</v>
      </c>
    </row>
    <row r="441" spans="1:8" x14ac:dyDescent="0.25">
      <c r="A441" t="s">
        <v>111</v>
      </c>
      <c r="B441" t="s">
        <v>114</v>
      </c>
      <c r="C441" t="s">
        <v>675</v>
      </c>
      <c r="D441" t="s">
        <v>1070</v>
      </c>
      <c r="E441" t="s">
        <v>72</v>
      </c>
      <c r="F441" t="s">
        <v>2439</v>
      </c>
      <c r="G441" t="s">
        <v>2037</v>
      </c>
      <c r="H441" t="s">
        <v>2038</v>
      </c>
    </row>
    <row r="442" spans="1:8" x14ac:dyDescent="0.25">
      <c r="A442" t="s">
        <v>111</v>
      </c>
      <c r="B442" t="s">
        <v>115</v>
      </c>
      <c r="C442" t="s">
        <v>677</v>
      </c>
      <c r="D442" t="s">
        <v>1071</v>
      </c>
      <c r="E442" t="s">
        <v>73</v>
      </c>
      <c r="F442" t="s">
        <v>2440</v>
      </c>
      <c r="G442" t="s">
        <v>2037</v>
      </c>
      <c r="H442" t="s">
        <v>2038</v>
      </c>
    </row>
    <row r="443" spans="1:8" x14ac:dyDescent="0.25">
      <c r="A443" t="s">
        <v>111</v>
      </c>
      <c r="B443" t="s">
        <v>116</v>
      </c>
      <c r="C443" t="s">
        <v>679</v>
      </c>
      <c r="D443" t="s">
        <v>1072</v>
      </c>
      <c r="E443" t="s">
        <v>74</v>
      </c>
      <c r="F443" t="s">
        <v>2441</v>
      </c>
      <c r="G443" t="s">
        <v>2037</v>
      </c>
      <c r="H443" t="s">
        <v>2038</v>
      </c>
    </row>
    <row r="444" spans="1:8" x14ac:dyDescent="0.25">
      <c r="A444" t="s">
        <v>111</v>
      </c>
      <c r="B444" t="s">
        <v>8</v>
      </c>
      <c r="C444" t="s">
        <v>671</v>
      </c>
      <c r="D444" t="s">
        <v>1073</v>
      </c>
      <c r="E444" t="s">
        <v>75</v>
      </c>
      <c r="F444" t="s">
        <v>2442</v>
      </c>
      <c r="G444" t="s">
        <v>2037</v>
      </c>
      <c r="H444" t="s">
        <v>2038</v>
      </c>
    </row>
    <row r="445" spans="1:8" x14ac:dyDescent="0.25">
      <c r="A445" t="s">
        <v>111</v>
      </c>
      <c r="B445" t="s">
        <v>8</v>
      </c>
      <c r="C445" t="s">
        <v>671</v>
      </c>
      <c r="D445" t="s">
        <v>1074</v>
      </c>
      <c r="E445" t="s">
        <v>76</v>
      </c>
      <c r="F445" t="s">
        <v>2443</v>
      </c>
      <c r="G445" t="s">
        <v>2037</v>
      </c>
      <c r="H445" t="s">
        <v>2038</v>
      </c>
    </row>
    <row r="446" spans="1:8" x14ac:dyDescent="0.25">
      <c r="A446" t="s">
        <v>111</v>
      </c>
      <c r="B446" t="s">
        <v>117</v>
      </c>
      <c r="C446" t="s">
        <v>683</v>
      </c>
      <c r="D446" t="s">
        <v>1075</v>
      </c>
      <c r="E446" t="s">
        <v>77</v>
      </c>
      <c r="F446" t="s">
        <v>2444</v>
      </c>
      <c r="G446" t="s">
        <v>2037</v>
      </c>
      <c r="H446" t="s">
        <v>2038</v>
      </c>
    </row>
    <row r="447" spans="1:8" x14ac:dyDescent="0.25">
      <c r="A447" t="s">
        <v>111</v>
      </c>
      <c r="B447" t="s">
        <v>26</v>
      </c>
      <c r="C447" t="s">
        <v>685</v>
      </c>
      <c r="D447" t="s">
        <v>1076</v>
      </c>
      <c r="E447" t="s">
        <v>687</v>
      </c>
      <c r="F447" t="s">
        <v>2445</v>
      </c>
      <c r="G447" t="s">
        <v>2037</v>
      </c>
      <c r="H447" t="s">
        <v>2038</v>
      </c>
    </row>
    <row r="448" spans="1:8" x14ac:dyDescent="0.25">
      <c r="A448" t="s">
        <v>105</v>
      </c>
      <c r="B448" t="s">
        <v>27</v>
      </c>
      <c r="C448" t="s">
        <v>688</v>
      </c>
      <c r="D448" t="s">
        <v>1077</v>
      </c>
      <c r="E448" t="s">
        <v>1077</v>
      </c>
      <c r="F448" t="s">
        <v>2446</v>
      </c>
      <c r="G448" t="s">
        <v>2037</v>
      </c>
      <c r="H448" t="s">
        <v>2038</v>
      </c>
    </row>
    <row r="449" spans="1:8" x14ac:dyDescent="0.25">
      <c r="A449" t="s">
        <v>106</v>
      </c>
      <c r="B449" t="s">
        <v>28</v>
      </c>
      <c r="C449" t="s">
        <v>690</v>
      </c>
      <c r="D449" t="s">
        <v>1078</v>
      </c>
      <c r="E449" t="s">
        <v>692</v>
      </c>
      <c r="F449" t="s">
        <v>2447</v>
      </c>
      <c r="G449" t="s">
        <v>2037</v>
      </c>
      <c r="H449" t="s">
        <v>2038</v>
      </c>
    </row>
    <row r="450" spans="1:8" x14ac:dyDescent="0.25">
      <c r="A450" t="s">
        <v>106</v>
      </c>
      <c r="B450" t="s">
        <v>29</v>
      </c>
      <c r="C450" t="s">
        <v>693</v>
      </c>
      <c r="F450" t="s">
        <v>2448</v>
      </c>
      <c r="G450" t="s">
        <v>2037</v>
      </c>
      <c r="H450" t="s">
        <v>2038</v>
      </c>
    </row>
    <row r="451" spans="1:8" x14ac:dyDescent="0.25">
      <c r="A451" t="s">
        <v>70</v>
      </c>
      <c r="B451" t="s">
        <v>70</v>
      </c>
      <c r="D451" t="s">
        <v>1079</v>
      </c>
      <c r="E451" t="s">
        <v>1000</v>
      </c>
      <c r="F451" t="s">
        <v>2079</v>
      </c>
    </row>
    <row r="452" spans="1:8" x14ac:dyDescent="0.25">
      <c r="A452" t="s">
        <v>118</v>
      </c>
      <c r="B452" t="s">
        <v>31</v>
      </c>
      <c r="C452" t="s">
        <v>694</v>
      </c>
      <c r="D452" t="s">
        <v>1080</v>
      </c>
      <c r="E452" t="s">
        <v>31</v>
      </c>
      <c r="F452" t="s">
        <v>2449</v>
      </c>
      <c r="G452" t="s">
        <v>2037</v>
      </c>
      <c r="H452" t="s">
        <v>2038</v>
      </c>
    </row>
    <row r="453" spans="1:8" x14ac:dyDescent="0.25">
      <c r="A453" t="s">
        <v>118</v>
      </c>
      <c r="B453" t="s">
        <v>17</v>
      </c>
      <c r="C453" t="s">
        <v>696</v>
      </c>
      <c r="D453" t="s">
        <v>1081</v>
      </c>
      <c r="E453" t="s">
        <v>17</v>
      </c>
      <c r="F453" t="s">
        <v>2450</v>
      </c>
      <c r="G453" t="s">
        <v>2037</v>
      </c>
      <c r="H453" t="s">
        <v>2038</v>
      </c>
    </row>
    <row r="454" spans="1:8" x14ac:dyDescent="0.25">
      <c r="A454" t="s">
        <v>118</v>
      </c>
      <c r="B454" t="s">
        <v>16</v>
      </c>
      <c r="C454" t="s">
        <v>698</v>
      </c>
      <c r="D454" t="s">
        <v>1082</v>
      </c>
      <c r="E454" t="s">
        <v>16</v>
      </c>
      <c r="F454" t="s">
        <v>2451</v>
      </c>
      <c r="G454" t="s">
        <v>2037</v>
      </c>
      <c r="H454" t="s">
        <v>2038</v>
      </c>
    </row>
    <row r="455" spans="1:8" x14ac:dyDescent="0.25">
      <c r="A455" t="s">
        <v>118</v>
      </c>
      <c r="B455" t="s">
        <v>32</v>
      </c>
      <c r="C455" t="s">
        <v>700</v>
      </c>
      <c r="D455" t="s">
        <v>1083</v>
      </c>
      <c r="E455" t="s">
        <v>702</v>
      </c>
      <c r="F455" t="s">
        <v>2452</v>
      </c>
      <c r="G455" t="s">
        <v>2037</v>
      </c>
      <c r="H455" t="s">
        <v>2038</v>
      </c>
    </row>
    <row r="456" spans="1:8" x14ac:dyDescent="0.25">
      <c r="A456" t="s">
        <v>118</v>
      </c>
      <c r="B456" t="s">
        <v>33</v>
      </c>
      <c r="C456" t="s">
        <v>703</v>
      </c>
      <c r="D456" t="s">
        <v>1084</v>
      </c>
      <c r="E456" t="s">
        <v>705</v>
      </c>
      <c r="F456" t="s">
        <v>2453</v>
      </c>
      <c r="G456" t="s">
        <v>2037</v>
      </c>
      <c r="H456" t="s">
        <v>2038</v>
      </c>
    </row>
    <row r="457" spans="1:8" x14ac:dyDescent="0.25">
      <c r="A457" t="s">
        <v>118</v>
      </c>
      <c r="B457" t="s">
        <v>119</v>
      </c>
      <c r="C457" t="s">
        <v>706</v>
      </c>
      <c r="D457" t="s">
        <v>1085</v>
      </c>
      <c r="E457" t="s">
        <v>708</v>
      </c>
      <c r="F457" t="s">
        <v>2454</v>
      </c>
      <c r="G457" t="s">
        <v>2037</v>
      </c>
      <c r="H457" t="s">
        <v>2038</v>
      </c>
    </row>
    <row r="458" spans="1:8" x14ac:dyDescent="0.25">
      <c r="A458" t="s">
        <v>118</v>
      </c>
      <c r="B458" t="s">
        <v>120</v>
      </c>
      <c r="C458" t="s">
        <v>709</v>
      </c>
      <c r="D458" t="s">
        <v>1086</v>
      </c>
      <c r="E458" t="s">
        <v>711</v>
      </c>
      <c r="F458" t="s">
        <v>2455</v>
      </c>
      <c r="G458" t="s">
        <v>2037</v>
      </c>
      <c r="H458" t="s">
        <v>2038</v>
      </c>
    </row>
    <row r="459" spans="1:8" x14ac:dyDescent="0.25">
      <c r="A459" t="s">
        <v>118</v>
      </c>
      <c r="B459" t="s">
        <v>59</v>
      </c>
      <c r="C459" t="s">
        <v>712</v>
      </c>
      <c r="D459" t="s">
        <v>1087</v>
      </c>
      <c r="E459" t="s">
        <v>714</v>
      </c>
      <c r="F459" t="s">
        <v>2456</v>
      </c>
      <c r="G459" t="s">
        <v>2037</v>
      </c>
      <c r="H459" t="s">
        <v>2038</v>
      </c>
    </row>
    <row r="460" spans="1:8" x14ac:dyDescent="0.25">
      <c r="A460" t="s">
        <v>118</v>
      </c>
      <c r="B460" t="s">
        <v>121</v>
      </c>
      <c r="C460" t="s">
        <v>715</v>
      </c>
      <c r="D460" t="s">
        <v>1088</v>
      </c>
      <c r="E460" t="s">
        <v>717</v>
      </c>
      <c r="F460" t="s">
        <v>2457</v>
      </c>
      <c r="G460" t="s">
        <v>2037</v>
      </c>
      <c r="H460" t="s">
        <v>2038</v>
      </c>
    </row>
    <row r="461" spans="1:8" x14ac:dyDescent="0.25">
      <c r="A461" t="s">
        <v>118</v>
      </c>
      <c r="B461" t="s">
        <v>122</v>
      </c>
      <c r="C461" t="s">
        <v>718</v>
      </c>
      <c r="D461" t="s">
        <v>1089</v>
      </c>
      <c r="E461" t="s">
        <v>720</v>
      </c>
      <c r="F461" t="s">
        <v>2458</v>
      </c>
      <c r="G461" t="s">
        <v>2037</v>
      </c>
      <c r="H461" t="s">
        <v>2038</v>
      </c>
    </row>
    <row r="462" spans="1:8" x14ac:dyDescent="0.25">
      <c r="A462" t="s">
        <v>118</v>
      </c>
      <c r="B462" t="s">
        <v>8</v>
      </c>
      <c r="C462" t="s">
        <v>721</v>
      </c>
      <c r="D462" t="s">
        <v>1090</v>
      </c>
      <c r="E462" t="s">
        <v>645</v>
      </c>
      <c r="F462" t="s">
        <v>2459</v>
      </c>
      <c r="G462" t="s">
        <v>2037</v>
      </c>
      <c r="H462" t="s">
        <v>2038</v>
      </c>
    </row>
    <row r="463" spans="1:8" x14ac:dyDescent="0.25">
      <c r="A463" t="s">
        <v>118</v>
      </c>
      <c r="B463" t="s">
        <v>8</v>
      </c>
      <c r="C463" t="s">
        <v>723</v>
      </c>
      <c r="D463" t="s">
        <v>1091</v>
      </c>
      <c r="E463" t="s">
        <v>660</v>
      </c>
      <c r="F463" t="s">
        <v>2460</v>
      </c>
      <c r="G463" t="s">
        <v>2037</v>
      </c>
      <c r="H463" t="s">
        <v>2038</v>
      </c>
    </row>
    <row r="464" spans="1:8" x14ac:dyDescent="0.25">
      <c r="A464" t="s">
        <v>118</v>
      </c>
      <c r="B464" t="s">
        <v>39</v>
      </c>
      <c r="C464" t="s">
        <v>725</v>
      </c>
      <c r="D464" t="s">
        <v>1092</v>
      </c>
      <c r="E464" t="s">
        <v>39</v>
      </c>
      <c r="F464" t="s">
        <v>2461</v>
      </c>
      <c r="G464" t="s">
        <v>2037</v>
      </c>
      <c r="H464" t="s">
        <v>2038</v>
      </c>
    </row>
    <row r="465" spans="1:8" x14ac:dyDescent="0.25">
      <c r="A465" t="s">
        <v>118</v>
      </c>
      <c r="B465" t="s">
        <v>8</v>
      </c>
      <c r="C465" t="s">
        <v>727</v>
      </c>
      <c r="D465" t="s">
        <v>70</v>
      </c>
      <c r="E465" t="s">
        <v>70</v>
      </c>
      <c r="F465" t="s">
        <v>2079</v>
      </c>
    </row>
    <row r="466" spans="1:8" x14ac:dyDescent="0.25">
      <c r="A466" t="s">
        <v>118</v>
      </c>
      <c r="B466" t="s">
        <v>40</v>
      </c>
      <c r="C466" t="s">
        <v>728</v>
      </c>
      <c r="D466" t="s">
        <v>1093</v>
      </c>
      <c r="E466" t="s">
        <v>687</v>
      </c>
      <c r="F466" t="s">
        <v>2462</v>
      </c>
      <c r="G466" t="s">
        <v>2037</v>
      </c>
      <c r="H466" t="s">
        <v>2038</v>
      </c>
    </row>
    <row r="467" spans="1:8" x14ac:dyDescent="0.25">
      <c r="A467" t="s">
        <v>123</v>
      </c>
      <c r="B467" t="s">
        <v>3</v>
      </c>
      <c r="C467" t="s">
        <v>633</v>
      </c>
      <c r="D467" t="s">
        <v>1094</v>
      </c>
      <c r="E467" t="s">
        <v>3</v>
      </c>
      <c r="F467" t="s">
        <v>2463</v>
      </c>
      <c r="G467" t="s">
        <v>2037</v>
      </c>
      <c r="H467" t="s">
        <v>2038</v>
      </c>
    </row>
    <row r="468" spans="1:8" x14ac:dyDescent="0.25">
      <c r="A468" t="s">
        <v>123</v>
      </c>
      <c r="B468" t="s">
        <v>27</v>
      </c>
      <c r="C468" t="s">
        <v>688</v>
      </c>
      <c r="D468" t="s">
        <v>1095</v>
      </c>
      <c r="E468" t="s">
        <v>1095</v>
      </c>
      <c r="F468" t="s">
        <v>2464</v>
      </c>
      <c r="G468" t="s">
        <v>2037</v>
      </c>
      <c r="H468" t="s">
        <v>2038</v>
      </c>
    </row>
    <row r="469" spans="1:8" x14ac:dyDescent="0.25">
      <c r="A469" t="s">
        <v>124</v>
      </c>
      <c r="B469" t="s">
        <v>5</v>
      </c>
      <c r="C469" t="s">
        <v>1096</v>
      </c>
      <c r="D469" t="s">
        <v>1097</v>
      </c>
      <c r="E469" t="s">
        <v>638</v>
      </c>
      <c r="F469" t="s">
        <v>2465</v>
      </c>
      <c r="G469" t="s">
        <v>2037</v>
      </c>
      <c r="H469" t="s">
        <v>2038</v>
      </c>
    </row>
    <row r="470" spans="1:8" x14ac:dyDescent="0.25">
      <c r="A470" t="s">
        <v>124</v>
      </c>
      <c r="B470" t="s">
        <v>125</v>
      </c>
      <c r="C470" t="s">
        <v>1098</v>
      </c>
      <c r="D470" t="s">
        <v>1099</v>
      </c>
      <c r="E470" t="s">
        <v>1100</v>
      </c>
      <c r="F470" t="s">
        <v>2466</v>
      </c>
      <c r="G470" t="s">
        <v>2037</v>
      </c>
      <c r="H470" t="s">
        <v>2038</v>
      </c>
    </row>
    <row r="471" spans="1:8" x14ac:dyDescent="0.25">
      <c r="A471" t="s">
        <v>124</v>
      </c>
      <c r="B471" t="s">
        <v>126</v>
      </c>
      <c r="C471" t="s">
        <v>1101</v>
      </c>
      <c r="D471" t="s">
        <v>1102</v>
      </c>
      <c r="E471" t="s">
        <v>1103</v>
      </c>
      <c r="F471" t="s">
        <v>2467</v>
      </c>
      <c r="G471" t="s">
        <v>2037</v>
      </c>
      <c r="H471" t="s">
        <v>2038</v>
      </c>
    </row>
    <row r="472" spans="1:8" x14ac:dyDescent="0.25">
      <c r="A472" t="s">
        <v>124</v>
      </c>
      <c r="B472" t="s">
        <v>127</v>
      </c>
      <c r="C472" t="s">
        <v>1104</v>
      </c>
      <c r="D472" t="s">
        <v>1105</v>
      </c>
      <c r="E472" t="s">
        <v>127</v>
      </c>
      <c r="F472" t="s">
        <v>2468</v>
      </c>
      <c r="G472" t="s">
        <v>2037</v>
      </c>
      <c r="H472" t="s">
        <v>2038</v>
      </c>
    </row>
    <row r="473" spans="1:8" x14ac:dyDescent="0.25">
      <c r="A473" t="s">
        <v>124</v>
      </c>
      <c r="B473" t="s">
        <v>128</v>
      </c>
      <c r="C473" t="s">
        <v>1106</v>
      </c>
      <c r="D473" t="s">
        <v>1107</v>
      </c>
      <c r="E473" t="s">
        <v>128</v>
      </c>
      <c r="F473" t="s">
        <v>2469</v>
      </c>
      <c r="G473" t="s">
        <v>2037</v>
      </c>
      <c r="H473" t="s">
        <v>2038</v>
      </c>
    </row>
    <row r="474" spans="1:8" x14ac:dyDescent="0.25">
      <c r="A474" t="s">
        <v>124</v>
      </c>
      <c r="B474" t="s">
        <v>129</v>
      </c>
      <c r="C474" t="s">
        <v>1108</v>
      </c>
      <c r="D474" t="s">
        <v>1109</v>
      </c>
      <c r="E474" t="s">
        <v>129</v>
      </c>
      <c r="F474" t="s">
        <v>2470</v>
      </c>
      <c r="G474" t="s">
        <v>2037</v>
      </c>
      <c r="H474" t="s">
        <v>2038</v>
      </c>
    </row>
    <row r="475" spans="1:8" x14ac:dyDescent="0.25">
      <c r="A475" t="s">
        <v>124</v>
      </c>
      <c r="B475" t="s">
        <v>8</v>
      </c>
      <c r="C475" t="s">
        <v>1110</v>
      </c>
      <c r="D475" t="s">
        <v>1111</v>
      </c>
      <c r="E475" t="s">
        <v>8</v>
      </c>
      <c r="F475" t="s">
        <v>2471</v>
      </c>
      <c r="G475" t="s">
        <v>2037</v>
      </c>
      <c r="H475" t="s">
        <v>2038</v>
      </c>
    </row>
    <row r="476" spans="1:8" x14ac:dyDescent="0.25">
      <c r="A476" t="s">
        <v>124</v>
      </c>
      <c r="B476" t="s">
        <v>14</v>
      </c>
      <c r="C476" t="s">
        <v>1112</v>
      </c>
      <c r="D476" t="s">
        <v>1113</v>
      </c>
      <c r="E476" t="s">
        <v>663</v>
      </c>
      <c r="F476" t="s">
        <v>2472</v>
      </c>
      <c r="G476" t="s">
        <v>2037</v>
      </c>
      <c r="H476" t="s">
        <v>2038</v>
      </c>
    </row>
    <row r="477" spans="1:8" x14ac:dyDescent="0.25">
      <c r="D477" t="s">
        <v>1114</v>
      </c>
      <c r="E477" t="s">
        <v>1115</v>
      </c>
    </row>
    <row r="478" spans="1:8" x14ac:dyDescent="0.25">
      <c r="A478" t="s">
        <v>130</v>
      </c>
      <c r="B478" t="s">
        <v>16</v>
      </c>
      <c r="C478" t="s">
        <v>1116</v>
      </c>
      <c r="D478" t="s">
        <v>1117</v>
      </c>
      <c r="E478" t="s">
        <v>16</v>
      </c>
      <c r="F478" t="s">
        <v>2473</v>
      </c>
      <c r="G478" t="s">
        <v>2037</v>
      </c>
      <c r="H478" t="s">
        <v>2038</v>
      </c>
    </row>
    <row r="479" spans="1:8" x14ac:dyDescent="0.25">
      <c r="A479" t="s">
        <v>130</v>
      </c>
      <c r="B479" t="s">
        <v>17</v>
      </c>
      <c r="C479" t="s">
        <v>1118</v>
      </c>
      <c r="D479" t="s">
        <v>1119</v>
      </c>
      <c r="E479" t="s">
        <v>17</v>
      </c>
      <c r="F479" t="s">
        <v>2474</v>
      </c>
      <c r="G479" t="s">
        <v>2037</v>
      </c>
      <c r="H479" t="s">
        <v>2038</v>
      </c>
    </row>
    <row r="480" spans="1:8" x14ac:dyDescent="0.25">
      <c r="A480" t="s">
        <v>130</v>
      </c>
      <c r="B480" t="s">
        <v>131</v>
      </c>
      <c r="C480" t="s">
        <v>673</v>
      </c>
      <c r="D480" t="s">
        <v>1120</v>
      </c>
      <c r="E480" t="s">
        <v>131</v>
      </c>
      <c r="F480" t="s">
        <v>2475</v>
      </c>
      <c r="G480" t="s">
        <v>2037</v>
      </c>
      <c r="H480" t="s">
        <v>2038</v>
      </c>
    </row>
    <row r="481" spans="1:8" x14ac:dyDescent="0.25">
      <c r="A481" t="s">
        <v>130</v>
      </c>
      <c r="B481" t="s">
        <v>132</v>
      </c>
      <c r="C481" t="s">
        <v>675</v>
      </c>
      <c r="D481" t="s">
        <v>1121</v>
      </c>
      <c r="E481" t="s">
        <v>132</v>
      </c>
      <c r="F481" t="s">
        <v>2476</v>
      </c>
      <c r="G481" t="s">
        <v>2037</v>
      </c>
      <c r="H481" t="s">
        <v>2038</v>
      </c>
    </row>
    <row r="482" spans="1:8" x14ac:dyDescent="0.25">
      <c r="A482" t="s">
        <v>130</v>
      </c>
      <c r="B482" t="s">
        <v>133</v>
      </c>
      <c r="C482" t="s">
        <v>677</v>
      </c>
      <c r="D482" t="s">
        <v>1122</v>
      </c>
      <c r="E482" t="s">
        <v>133</v>
      </c>
      <c r="F482" t="s">
        <v>2477</v>
      </c>
      <c r="G482" t="s">
        <v>2037</v>
      </c>
      <c r="H482" t="s">
        <v>2038</v>
      </c>
    </row>
    <row r="483" spans="1:8" x14ac:dyDescent="0.25">
      <c r="A483" t="s">
        <v>130</v>
      </c>
      <c r="B483" t="s">
        <v>134</v>
      </c>
      <c r="C483" t="s">
        <v>679</v>
      </c>
      <c r="D483" t="s">
        <v>1123</v>
      </c>
      <c r="E483" t="s">
        <v>134</v>
      </c>
      <c r="F483" t="s">
        <v>2478</v>
      </c>
      <c r="G483" t="s">
        <v>2037</v>
      </c>
      <c r="H483" t="s">
        <v>2038</v>
      </c>
    </row>
    <row r="484" spans="1:8" x14ac:dyDescent="0.25">
      <c r="A484" t="s">
        <v>130</v>
      </c>
      <c r="B484" t="s">
        <v>135</v>
      </c>
      <c r="C484" t="s">
        <v>1124</v>
      </c>
      <c r="D484" t="s">
        <v>1125</v>
      </c>
      <c r="E484" t="s">
        <v>135</v>
      </c>
      <c r="F484" t="s">
        <v>2479</v>
      </c>
      <c r="G484" t="s">
        <v>2037</v>
      </c>
      <c r="H484" t="s">
        <v>2038</v>
      </c>
    </row>
    <row r="485" spans="1:8" x14ac:dyDescent="0.25">
      <c r="A485" t="s">
        <v>130</v>
      </c>
      <c r="B485" t="s">
        <v>136</v>
      </c>
      <c r="C485" t="s">
        <v>1126</v>
      </c>
      <c r="D485" t="s">
        <v>1127</v>
      </c>
      <c r="E485" t="s">
        <v>136</v>
      </c>
      <c r="F485" t="s">
        <v>2480</v>
      </c>
      <c r="G485" t="s">
        <v>2037</v>
      </c>
      <c r="H485" t="s">
        <v>2038</v>
      </c>
    </row>
    <row r="486" spans="1:8" x14ac:dyDescent="0.25">
      <c r="A486" t="s">
        <v>130</v>
      </c>
      <c r="B486" t="s">
        <v>137</v>
      </c>
      <c r="C486" t="s">
        <v>671</v>
      </c>
      <c r="D486" t="s">
        <v>1128</v>
      </c>
      <c r="E486" t="s">
        <v>137</v>
      </c>
      <c r="F486" t="s">
        <v>2481</v>
      </c>
      <c r="G486" t="s">
        <v>2037</v>
      </c>
      <c r="H486" t="s">
        <v>2038</v>
      </c>
    </row>
    <row r="487" spans="1:8" x14ac:dyDescent="0.25">
      <c r="A487" t="s">
        <v>130</v>
      </c>
      <c r="B487" t="s">
        <v>138</v>
      </c>
      <c r="C487" t="s">
        <v>1129</v>
      </c>
      <c r="D487" t="s">
        <v>1130</v>
      </c>
      <c r="E487" t="s">
        <v>138</v>
      </c>
      <c r="F487" t="s">
        <v>2482</v>
      </c>
      <c r="G487" t="s">
        <v>2037</v>
      </c>
      <c r="H487" t="s">
        <v>2038</v>
      </c>
    </row>
    <row r="488" spans="1:8" x14ac:dyDescent="0.25">
      <c r="A488" t="s">
        <v>130</v>
      </c>
      <c r="B488" t="s">
        <v>139</v>
      </c>
      <c r="C488" t="s">
        <v>1131</v>
      </c>
      <c r="D488" t="s">
        <v>1132</v>
      </c>
      <c r="E488" t="s">
        <v>139</v>
      </c>
      <c r="F488" t="s">
        <v>2483</v>
      </c>
      <c r="G488" t="s">
        <v>2037</v>
      </c>
      <c r="H488" t="s">
        <v>2038</v>
      </c>
    </row>
    <row r="489" spans="1:8" x14ac:dyDescent="0.25">
      <c r="A489" t="s">
        <v>130</v>
      </c>
      <c r="B489" t="s">
        <v>140</v>
      </c>
      <c r="C489" t="s">
        <v>1133</v>
      </c>
      <c r="D489" t="s">
        <v>1134</v>
      </c>
      <c r="E489" t="s">
        <v>140</v>
      </c>
      <c r="F489" t="s">
        <v>2484</v>
      </c>
      <c r="G489" t="s">
        <v>2037</v>
      </c>
      <c r="H489" t="s">
        <v>2038</v>
      </c>
    </row>
    <row r="490" spans="1:8" x14ac:dyDescent="0.25">
      <c r="A490" t="s">
        <v>130</v>
      </c>
      <c r="B490" t="s">
        <v>26</v>
      </c>
      <c r="C490" t="s">
        <v>1135</v>
      </c>
      <c r="D490" t="s">
        <v>1136</v>
      </c>
      <c r="E490" t="s">
        <v>687</v>
      </c>
      <c r="F490" t="s">
        <v>2485</v>
      </c>
      <c r="G490" t="s">
        <v>2037</v>
      </c>
      <c r="H490" t="s">
        <v>2038</v>
      </c>
    </row>
    <row r="491" spans="1:8" x14ac:dyDescent="0.25">
      <c r="A491" t="s">
        <v>124</v>
      </c>
      <c r="B491" t="s">
        <v>28</v>
      </c>
      <c r="C491" t="s">
        <v>690</v>
      </c>
      <c r="F491" t="s">
        <v>2486</v>
      </c>
      <c r="G491" t="s">
        <v>2037</v>
      </c>
      <c r="H491" t="s">
        <v>2038</v>
      </c>
    </row>
    <row r="492" spans="1:8" x14ac:dyDescent="0.25">
      <c r="A492" t="s">
        <v>124</v>
      </c>
      <c r="B492" t="s">
        <v>29</v>
      </c>
      <c r="C492" t="s">
        <v>693</v>
      </c>
      <c r="F492" t="s">
        <v>2487</v>
      </c>
      <c r="G492" t="s">
        <v>2037</v>
      </c>
      <c r="H492" t="s">
        <v>2038</v>
      </c>
    </row>
    <row r="493" spans="1:8" x14ac:dyDescent="0.25">
      <c r="A493" t="s">
        <v>141</v>
      </c>
      <c r="B493" t="s">
        <v>3</v>
      </c>
      <c r="C493" t="s">
        <v>633</v>
      </c>
      <c r="D493" t="s">
        <v>1137</v>
      </c>
      <c r="E493" t="s">
        <v>3</v>
      </c>
      <c r="F493" t="s">
        <v>2488</v>
      </c>
      <c r="G493" t="s">
        <v>2037</v>
      </c>
      <c r="H493" t="s">
        <v>2038</v>
      </c>
    </row>
    <row r="494" spans="1:8" x14ac:dyDescent="0.25">
      <c r="A494" t="s">
        <v>141</v>
      </c>
      <c r="B494" t="s">
        <v>27</v>
      </c>
      <c r="C494" t="s">
        <v>688</v>
      </c>
      <c r="D494" t="s">
        <v>1138</v>
      </c>
      <c r="E494" t="s">
        <v>1138</v>
      </c>
      <c r="F494" t="s">
        <v>2489</v>
      </c>
      <c r="G494" t="s">
        <v>2037</v>
      </c>
      <c r="H494" t="s">
        <v>2038</v>
      </c>
    </row>
    <row r="495" spans="1:8" x14ac:dyDescent="0.25">
      <c r="A495" t="s">
        <v>142</v>
      </c>
      <c r="B495" t="s">
        <v>5</v>
      </c>
      <c r="C495" t="s">
        <v>1096</v>
      </c>
      <c r="D495" t="s">
        <v>1139</v>
      </c>
      <c r="E495" t="s">
        <v>638</v>
      </c>
      <c r="F495" t="s">
        <v>2490</v>
      </c>
      <c r="G495" t="s">
        <v>2037</v>
      </c>
      <c r="H495" t="s">
        <v>2038</v>
      </c>
    </row>
    <row r="496" spans="1:8" x14ac:dyDescent="0.25">
      <c r="A496" t="s">
        <v>142</v>
      </c>
      <c r="B496" t="s">
        <v>125</v>
      </c>
      <c r="C496" t="s">
        <v>1098</v>
      </c>
      <c r="D496" t="s">
        <v>1140</v>
      </c>
      <c r="E496" t="s">
        <v>1100</v>
      </c>
      <c r="F496" t="s">
        <v>2491</v>
      </c>
      <c r="G496" t="s">
        <v>2037</v>
      </c>
      <c r="H496" t="s">
        <v>2038</v>
      </c>
    </row>
    <row r="497" spans="1:8" x14ac:dyDescent="0.25">
      <c r="A497" t="s">
        <v>142</v>
      </c>
      <c r="B497" t="s">
        <v>143</v>
      </c>
      <c r="C497" t="s">
        <v>1101</v>
      </c>
      <c r="D497" t="s">
        <v>1141</v>
      </c>
      <c r="E497" t="s">
        <v>1103</v>
      </c>
      <c r="F497" t="s">
        <v>2492</v>
      </c>
      <c r="G497" t="s">
        <v>2037</v>
      </c>
      <c r="H497" t="s">
        <v>2038</v>
      </c>
    </row>
    <row r="498" spans="1:8" x14ac:dyDescent="0.25">
      <c r="A498" t="s">
        <v>142</v>
      </c>
      <c r="B498" t="s">
        <v>144</v>
      </c>
      <c r="C498" t="s">
        <v>1104</v>
      </c>
      <c r="D498" t="s">
        <v>1142</v>
      </c>
      <c r="E498" t="s">
        <v>144</v>
      </c>
      <c r="F498" t="s">
        <v>2493</v>
      </c>
      <c r="G498" t="s">
        <v>2037</v>
      </c>
      <c r="H498" t="s">
        <v>2038</v>
      </c>
    </row>
    <row r="499" spans="1:8" x14ac:dyDescent="0.25">
      <c r="A499" t="s">
        <v>142</v>
      </c>
      <c r="B499" t="s">
        <v>145</v>
      </c>
      <c r="C499" t="s">
        <v>1106</v>
      </c>
      <c r="D499" t="s">
        <v>1143</v>
      </c>
      <c r="E499" t="s">
        <v>145</v>
      </c>
      <c r="F499" t="s">
        <v>2494</v>
      </c>
      <c r="G499" t="s">
        <v>2037</v>
      </c>
      <c r="H499" t="s">
        <v>2038</v>
      </c>
    </row>
    <row r="500" spans="1:8" x14ac:dyDescent="0.25">
      <c r="A500" t="s">
        <v>142</v>
      </c>
      <c r="B500" t="s">
        <v>146</v>
      </c>
      <c r="C500" t="s">
        <v>1108</v>
      </c>
      <c r="D500" t="s">
        <v>1144</v>
      </c>
      <c r="E500" t="s">
        <v>146</v>
      </c>
      <c r="F500" t="s">
        <v>2495</v>
      </c>
      <c r="G500" t="s">
        <v>2037</v>
      </c>
      <c r="H500" t="s">
        <v>2038</v>
      </c>
    </row>
    <row r="501" spans="1:8" x14ac:dyDescent="0.25">
      <c r="A501" t="s">
        <v>142</v>
      </c>
      <c r="B501" t="s">
        <v>8</v>
      </c>
      <c r="C501" t="s">
        <v>1110</v>
      </c>
      <c r="D501" t="s">
        <v>1145</v>
      </c>
      <c r="E501" t="s">
        <v>8</v>
      </c>
      <c r="F501" t="s">
        <v>2496</v>
      </c>
      <c r="G501" t="s">
        <v>2037</v>
      </c>
      <c r="H501" t="s">
        <v>2038</v>
      </c>
    </row>
    <row r="502" spans="1:8" x14ac:dyDescent="0.25">
      <c r="A502" t="s">
        <v>142</v>
      </c>
      <c r="B502" t="s">
        <v>14</v>
      </c>
      <c r="C502" t="s">
        <v>1112</v>
      </c>
      <c r="D502" t="s">
        <v>1146</v>
      </c>
      <c r="E502" t="s">
        <v>663</v>
      </c>
      <c r="F502" t="s">
        <v>2497</v>
      </c>
      <c r="G502" t="s">
        <v>2037</v>
      </c>
      <c r="H502" t="s">
        <v>2038</v>
      </c>
    </row>
    <row r="503" spans="1:8" x14ac:dyDescent="0.25">
      <c r="D503" t="s">
        <v>1147</v>
      </c>
      <c r="E503" t="s">
        <v>1148</v>
      </c>
    </row>
    <row r="504" spans="1:8" x14ac:dyDescent="0.25">
      <c r="A504" t="s">
        <v>147</v>
      </c>
      <c r="B504" t="s">
        <v>16</v>
      </c>
      <c r="C504" t="s">
        <v>1116</v>
      </c>
      <c r="D504" t="s">
        <v>1149</v>
      </c>
      <c r="E504" t="s">
        <v>16</v>
      </c>
      <c r="F504" t="s">
        <v>2498</v>
      </c>
      <c r="G504" t="s">
        <v>2037</v>
      </c>
      <c r="H504" t="s">
        <v>2038</v>
      </c>
    </row>
    <row r="505" spans="1:8" x14ac:dyDescent="0.25">
      <c r="A505" t="s">
        <v>147</v>
      </c>
      <c r="B505" t="s">
        <v>17</v>
      </c>
      <c r="C505" t="s">
        <v>1118</v>
      </c>
      <c r="D505" t="s">
        <v>1150</v>
      </c>
      <c r="E505" t="s">
        <v>17</v>
      </c>
      <c r="F505" t="s">
        <v>2499</v>
      </c>
      <c r="G505" t="s">
        <v>2037</v>
      </c>
      <c r="H505" t="s">
        <v>2038</v>
      </c>
    </row>
    <row r="506" spans="1:8" x14ac:dyDescent="0.25">
      <c r="A506" t="s">
        <v>147</v>
      </c>
      <c r="B506" t="s">
        <v>148</v>
      </c>
      <c r="C506" t="s">
        <v>673</v>
      </c>
      <c r="D506" t="s">
        <v>1151</v>
      </c>
      <c r="E506" t="s">
        <v>148</v>
      </c>
      <c r="F506" t="s">
        <v>2500</v>
      </c>
      <c r="G506" t="s">
        <v>2037</v>
      </c>
      <c r="H506" t="s">
        <v>2038</v>
      </c>
    </row>
    <row r="507" spans="1:8" x14ac:dyDescent="0.25">
      <c r="A507" t="s">
        <v>147</v>
      </c>
      <c r="B507" t="s">
        <v>149</v>
      </c>
      <c r="C507" t="s">
        <v>675</v>
      </c>
      <c r="D507" t="s">
        <v>1152</v>
      </c>
      <c r="E507" t="s">
        <v>149</v>
      </c>
      <c r="F507" t="s">
        <v>2501</v>
      </c>
      <c r="G507" t="s">
        <v>2037</v>
      </c>
      <c r="H507" t="s">
        <v>2038</v>
      </c>
    </row>
    <row r="508" spans="1:8" x14ac:dyDescent="0.25">
      <c r="A508" t="s">
        <v>147</v>
      </c>
      <c r="B508" t="s">
        <v>150</v>
      </c>
      <c r="C508" t="s">
        <v>677</v>
      </c>
      <c r="D508" t="s">
        <v>1153</v>
      </c>
      <c r="E508" t="s">
        <v>150</v>
      </c>
      <c r="F508" t="s">
        <v>2502</v>
      </c>
      <c r="G508" t="s">
        <v>2037</v>
      </c>
      <c r="H508" t="s">
        <v>2038</v>
      </c>
    </row>
    <row r="509" spans="1:8" x14ac:dyDescent="0.25">
      <c r="A509" t="s">
        <v>147</v>
      </c>
      <c r="B509" t="s">
        <v>151</v>
      </c>
      <c r="C509" t="s">
        <v>679</v>
      </c>
      <c r="D509" t="s">
        <v>1154</v>
      </c>
      <c r="E509" t="s">
        <v>151</v>
      </c>
      <c r="F509" t="s">
        <v>2503</v>
      </c>
      <c r="G509" t="s">
        <v>2037</v>
      </c>
      <c r="H509" t="s">
        <v>2038</v>
      </c>
    </row>
    <row r="510" spans="1:8" x14ac:dyDescent="0.25">
      <c r="A510" t="s">
        <v>147</v>
      </c>
      <c r="B510" t="s">
        <v>152</v>
      </c>
      <c r="C510" t="s">
        <v>1124</v>
      </c>
      <c r="D510" t="s">
        <v>1155</v>
      </c>
      <c r="E510" t="s">
        <v>152</v>
      </c>
      <c r="F510" t="s">
        <v>2504</v>
      </c>
      <c r="G510" t="s">
        <v>2037</v>
      </c>
      <c r="H510" t="s">
        <v>2038</v>
      </c>
    </row>
    <row r="511" spans="1:8" x14ac:dyDescent="0.25">
      <c r="A511" t="s">
        <v>147</v>
      </c>
      <c r="B511" t="s">
        <v>153</v>
      </c>
      <c r="C511" t="s">
        <v>1126</v>
      </c>
      <c r="D511" t="s">
        <v>1156</v>
      </c>
      <c r="E511" t="s">
        <v>153</v>
      </c>
      <c r="F511" t="s">
        <v>2505</v>
      </c>
      <c r="G511" t="s">
        <v>2037</v>
      </c>
      <c r="H511" t="s">
        <v>2038</v>
      </c>
    </row>
    <row r="512" spans="1:8" x14ac:dyDescent="0.25">
      <c r="A512" t="s">
        <v>147</v>
      </c>
      <c r="B512" t="s">
        <v>154</v>
      </c>
      <c r="C512" t="s">
        <v>671</v>
      </c>
      <c r="D512" t="s">
        <v>1157</v>
      </c>
      <c r="E512" t="s">
        <v>154</v>
      </c>
      <c r="F512" t="s">
        <v>2506</v>
      </c>
      <c r="G512" t="s">
        <v>2037</v>
      </c>
      <c r="H512" t="s">
        <v>2038</v>
      </c>
    </row>
    <row r="513" spans="1:8" x14ac:dyDescent="0.25">
      <c r="A513" t="s">
        <v>147</v>
      </c>
      <c r="B513" t="s">
        <v>155</v>
      </c>
      <c r="C513" t="s">
        <v>1129</v>
      </c>
      <c r="D513" t="s">
        <v>1158</v>
      </c>
      <c r="E513" t="s">
        <v>155</v>
      </c>
      <c r="F513" t="s">
        <v>2507</v>
      </c>
      <c r="G513" t="s">
        <v>2037</v>
      </c>
      <c r="H513" t="s">
        <v>2038</v>
      </c>
    </row>
    <row r="514" spans="1:8" x14ac:dyDescent="0.25">
      <c r="A514" t="s">
        <v>147</v>
      </c>
      <c r="B514" t="s">
        <v>156</v>
      </c>
      <c r="C514" t="s">
        <v>1131</v>
      </c>
      <c r="D514" t="s">
        <v>1159</v>
      </c>
      <c r="E514" t="s">
        <v>156</v>
      </c>
      <c r="F514" t="s">
        <v>2508</v>
      </c>
      <c r="G514" t="s">
        <v>2037</v>
      </c>
      <c r="H514" t="s">
        <v>2038</v>
      </c>
    </row>
    <row r="515" spans="1:8" x14ac:dyDescent="0.25">
      <c r="A515" t="s">
        <v>147</v>
      </c>
      <c r="B515" t="s">
        <v>157</v>
      </c>
      <c r="C515" t="s">
        <v>1133</v>
      </c>
      <c r="D515" t="s">
        <v>1160</v>
      </c>
      <c r="E515" t="s">
        <v>157</v>
      </c>
      <c r="F515" t="s">
        <v>2509</v>
      </c>
      <c r="G515" t="s">
        <v>2037</v>
      </c>
      <c r="H515" t="s">
        <v>2038</v>
      </c>
    </row>
    <row r="516" spans="1:8" x14ac:dyDescent="0.25">
      <c r="A516" t="s">
        <v>147</v>
      </c>
      <c r="B516" t="s">
        <v>26</v>
      </c>
      <c r="C516" t="s">
        <v>1135</v>
      </c>
      <c r="D516" t="s">
        <v>1161</v>
      </c>
      <c r="E516" t="s">
        <v>687</v>
      </c>
      <c r="F516" t="s">
        <v>2510</v>
      </c>
      <c r="G516" t="s">
        <v>2037</v>
      </c>
      <c r="H516" t="s">
        <v>2038</v>
      </c>
    </row>
    <row r="517" spans="1:8" x14ac:dyDescent="0.25">
      <c r="A517" t="s">
        <v>142</v>
      </c>
      <c r="B517" t="s">
        <v>28</v>
      </c>
      <c r="C517" t="s">
        <v>690</v>
      </c>
      <c r="F517" t="s">
        <v>2511</v>
      </c>
      <c r="G517" t="s">
        <v>2037</v>
      </c>
      <c r="H517" t="s">
        <v>2038</v>
      </c>
    </row>
    <row r="518" spans="1:8" x14ac:dyDescent="0.25">
      <c r="A518" t="s">
        <v>142</v>
      </c>
      <c r="B518" t="s">
        <v>29</v>
      </c>
      <c r="C518" t="s">
        <v>693</v>
      </c>
      <c r="F518" t="s">
        <v>2512</v>
      </c>
      <c r="G518" t="s">
        <v>2037</v>
      </c>
      <c r="H518" t="s">
        <v>2038</v>
      </c>
    </row>
    <row r="519" spans="1:8" x14ac:dyDescent="0.25">
      <c r="A519" t="s">
        <v>158</v>
      </c>
      <c r="B519" t="s">
        <v>3</v>
      </c>
      <c r="C519" t="s">
        <v>633</v>
      </c>
      <c r="D519" t="s">
        <v>1162</v>
      </c>
      <c r="E519" t="s">
        <v>3</v>
      </c>
      <c r="F519" t="s">
        <v>2513</v>
      </c>
      <c r="G519" t="s">
        <v>2037</v>
      </c>
      <c r="H519" t="s">
        <v>2038</v>
      </c>
    </row>
    <row r="520" spans="1:8" x14ac:dyDescent="0.25">
      <c r="A520" t="s">
        <v>158</v>
      </c>
      <c r="B520" t="s">
        <v>27</v>
      </c>
      <c r="C520" t="s">
        <v>688</v>
      </c>
      <c r="D520" t="s">
        <v>1163</v>
      </c>
      <c r="E520" t="s">
        <v>1163</v>
      </c>
      <c r="F520" t="s">
        <v>2514</v>
      </c>
      <c r="G520" t="s">
        <v>2037</v>
      </c>
      <c r="H520" t="s">
        <v>2038</v>
      </c>
    </row>
    <row r="521" spans="1:8" x14ac:dyDescent="0.25">
      <c r="A521" t="s">
        <v>159</v>
      </c>
      <c r="B521" t="s">
        <v>5</v>
      </c>
      <c r="C521" t="s">
        <v>1096</v>
      </c>
      <c r="D521" t="s">
        <v>1164</v>
      </c>
      <c r="E521" t="s">
        <v>638</v>
      </c>
      <c r="F521" t="s">
        <v>2515</v>
      </c>
      <c r="G521" t="s">
        <v>2037</v>
      </c>
      <c r="H521" t="s">
        <v>2038</v>
      </c>
    </row>
    <row r="522" spans="1:8" x14ac:dyDescent="0.25">
      <c r="A522" t="s">
        <v>159</v>
      </c>
      <c r="B522" t="s">
        <v>125</v>
      </c>
      <c r="C522" t="s">
        <v>1098</v>
      </c>
      <c r="D522" t="s">
        <v>1165</v>
      </c>
      <c r="E522" t="s">
        <v>1100</v>
      </c>
      <c r="F522" t="s">
        <v>2516</v>
      </c>
      <c r="G522" t="s">
        <v>2037</v>
      </c>
      <c r="H522" t="s">
        <v>2038</v>
      </c>
    </row>
    <row r="523" spans="1:8" x14ac:dyDescent="0.25">
      <c r="A523" t="s">
        <v>159</v>
      </c>
      <c r="B523" t="s">
        <v>160</v>
      </c>
      <c r="C523" t="s">
        <v>1101</v>
      </c>
      <c r="D523" t="s">
        <v>1166</v>
      </c>
      <c r="E523" t="s">
        <v>1103</v>
      </c>
      <c r="F523" t="s">
        <v>2517</v>
      </c>
      <c r="G523" t="s">
        <v>2037</v>
      </c>
      <c r="H523" t="s">
        <v>2038</v>
      </c>
    </row>
    <row r="524" spans="1:8" x14ac:dyDescent="0.25">
      <c r="A524" t="s">
        <v>159</v>
      </c>
      <c r="B524" t="s">
        <v>161</v>
      </c>
      <c r="C524" t="s">
        <v>1104</v>
      </c>
      <c r="D524" t="s">
        <v>1167</v>
      </c>
      <c r="E524" t="s">
        <v>161</v>
      </c>
      <c r="F524" t="s">
        <v>2518</v>
      </c>
      <c r="G524" t="s">
        <v>2037</v>
      </c>
      <c r="H524" t="s">
        <v>2038</v>
      </c>
    </row>
    <row r="525" spans="1:8" x14ac:dyDescent="0.25">
      <c r="A525" t="s">
        <v>159</v>
      </c>
      <c r="B525" t="s">
        <v>162</v>
      </c>
      <c r="C525" t="s">
        <v>1106</v>
      </c>
      <c r="D525" t="s">
        <v>1168</v>
      </c>
      <c r="E525" t="s">
        <v>162</v>
      </c>
      <c r="F525" t="s">
        <v>2519</v>
      </c>
      <c r="G525" t="s">
        <v>2037</v>
      </c>
      <c r="H525" t="s">
        <v>2038</v>
      </c>
    </row>
    <row r="526" spans="1:8" x14ac:dyDescent="0.25">
      <c r="A526" t="s">
        <v>159</v>
      </c>
      <c r="B526" t="s">
        <v>163</v>
      </c>
      <c r="C526" t="s">
        <v>1108</v>
      </c>
      <c r="D526" t="s">
        <v>1169</v>
      </c>
      <c r="E526" t="s">
        <v>163</v>
      </c>
      <c r="F526" t="s">
        <v>2520</v>
      </c>
      <c r="G526" t="s">
        <v>2037</v>
      </c>
      <c r="H526" t="s">
        <v>2038</v>
      </c>
    </row>
    <row r="527" spans="1:8" x14ac:dyDescent="0.25">
      <c r="A527" t="s">
        <v>159</v>
      </c>
      <c r="B527" t="s">
        <v>8</v>
      </c>
      <c r="C527" t="s">
        <v>1110</v>
      </c>
      <c r="D527" t="s">
        <v>1170</v>
      </c>
      <c r="E527" t="s">
        <v>8</v>
      </c>
      <c r="F527" t="s">
        <v>2521</v>
      </c>
      <c r="G527" t="s">
        <v>2037</v>
      </c>
      <c r="H527" t="s">
        <v>2038</v>
      </c>
    </row>
    <row r="528" spans="1:8" x14ac:dyDescent="0.25">
      <c r="A528" t="s">
        <v>159</v>
      </c>
      <c r="B528" t="s">
        <v>14</v>
      </c>
      <c r="C528" t="s">
        <v>1112</v>
      </c>
      <c r="D528" t="s">
        <v>1171</v>
      </c>
      <c r="E528" t="s">
        <v>663</v>
      </c>
      <c r="F528" t="s">
        <v>2522</v>
      </c>
      <c r="G528" t="s">
        <v>2037</v>
      </c>
      <c r="H528" t="s">
        <v>2038</v>
      </c>
    </row>
    <row r="529" spans="1:8" x14ac:dyDescent="0.25">
      <c r="D529" t="s">
        <v>1172</v>
      </c>
      <c r="E529" t="s">
        <v>1173</v>
      </c>
    </row>
    <row r="530" spans="1:8" x14ac:dyDescent="0.25">
      <c r="A530" t="s">
        <v>164</v>
      </c>
      <c r="B530" t="s">
        <v>16</v>
      </c>
      <c r="C530" t="s">
        <v>1116</v>
      </c>
      <c r="D530" t="s">
        <v>1174</v>
      </c>
      <c r="E530" t="s">
        <v>16</v>
      </c>
      <c r="F530" t="s">
        <v>2523</v>
      </c>
      <c r="G530" t="s">
        <v>2037</v>
      </c>
      <c r="H530" t="s">
        <v>2038</v>
      </c>
    </row>
    <row r="531" spans="1:8" x14ac:dyDescent="0.25">
      <c r="A531" t="s">
        <v>164</v>
      </c>
      <c r="B531" t="s">
        <v>17</v>
      </c>
      <c r="C531" t="s">
        <v>1118</v>
      </c>
      <c r="D531" t="s">
        <v>1175</v>
      </c>
      <c r="E531" t="s">
        <v>17</v>
      </c>
      <c r="F531" t="s">
        <v>2524</v>
      </c>
      <c r="G531" t="s">
        <v>2037</v>
      </c>
      <c r="H531" t="s">
        <v>2038</v>
      </c>
    </row>
    <row r="532" spans="1:8" x14ac:dyDescent="0.25">
      <c r="A532" t="s">
        <v>164</v>
      </c>
      <c r="B532" t="s">
        <v>165</v>
      </c>
      <c r="C532" t="s">
        <v>673</v>
      </c>
      <c r="D532" t="s">
        <v>1176</v>
      </c>
      <c r="E532" t="s">
        <v>165</v>
      </c>
      <c r="F532" t="s">
        <v>2525</v>
      </c>
      <c r="G532" t="s">
        <v>2037</v>
      </c>
      <c r="H532" t="s">
        <v>2038</v>
      </c>
    </row>
    <row r="533" spans="1:8" x14ac:dyDescent="0.25">
      <c r="A533" t="s">
        <v>164</v>
      </c>
      <c r="B533" t="s">
        <v>166</v>
      </c>
      <c r="C533" t="s">
        <v>675</v>
      </c>
      <c r="D533" t="s">
        <v>1177</v>
      </c>
      <c r="E533" t="s">
        <v>166</v>
      </c>
      <c r="F533" t="s">
        <v>2526</v>
      </c>
      <c r="G533" t="s">
        <v>2037</v>
      </c>
      <c r="H533" t="s">
        <v>2038</v>
      </c>
    </row>
    <row r="534" spans="1:8" x14ac:dyDescent="0.25">
      <c r="A534" t="s">
        <v>164</v>
      </c>
      <c r="B534" t="s">
        <v>167</v>
      </c>
      <c r="C534" t="s">
        <v>677</v>
      </c>
      <c r="D534" t="s">
        <v>1178</v>
      </c>
      <c r="E534" t="s">
        <v>167</v>
      </c>
      <c r="F534" t="s">
        <v>2527</v>
      </c>
      <c r="G534" t="s">
        <v>2037</v>
      </c>
      <c r="H534" t="s">
        <v>2038</v>
      </c>
    </row>
    <row r="535" spans="1:8" x14ac:dyDescent="0.25">
      <c r="A535" t="s">
        <v>164</v>
      </c>
      <c r="B535" t="s">
        <v>168</v>
      </c>
      <c r="C535" t="s">
        <v>679</v>
      </c>
      <c r="D535" t="s">
        <v>1179</v>
      </c>
      <c r="E535" t="s">
        <v>168</v>
      </c>
      <c r="F535" t="s">
        <v>2528</v>
      </c>
      <c r="G535" t="s">
        <v>2037</v>
      </c>
      <c r="H535" t="s">
        <v>2038</v>
      </c>
    </row>
    <row r="536" spans="1:8" x14ac:dyDescent="0.25">
      <c r="A536" t="s">
        <v>164</v>
      </c>
      <c r="B536" t="s">
        <v>169</v>
      </c>
      <c r="C536" t="s">
        <v>1124</v>
      </c>
      <c r="D536" t="s">
        <v>1180</v>
      </c>
      <c r="E536" t="s">
        <v>169</v>
      </c>
      <c r="F536" t="s">
        <v>2529</v>
      </c>
      <c r="G536" t="s">
        <v>2037</v>
      </c>
      <c r="H536" t="s">
        <v>2038</v>
      </c>
    </row>
    <row r="537" spans="1:8" x14ac:dyDescent="0.25">
      <c r="A537" t="s">
        <v>164</v>
      </c>
      <c r="B537" t="s">
        <v>170</v>
      </c>
      <c r="C537" t="s">
        <v>1126</v>
      </c>
      <c r="D537" t="s">
        <v>1181</v>
      </c>
      <c r="E537" t="s">
        <v>170</v>
      </c>
      <c r="F537" t="s">
        <v>2530</v>
      </c>
      <c r="G537" t="s">
        <v>2037</v>
      </c>
      <c r="H537" t="s">
        <v>2038</v>
      </c>
    </row>
    <row r="538" spans="1:8" x14ac:dyDescent="0.25">
      <c r="A538" t="s">
        <v>164</v>
      </c>
      <c r="B538" t="s">
        <v>171</v>
      </c>
      <c r="C538" t="s">
        <v>671</v>
      </c>
      <c r="D538" t="s">
        <v>1182</v>
      </c>
      <c r="E538" t="s">
        <v>171</v>
      </c>
      <c r="F538" t="s">
        <v>2531</v>
      </c>
      <c r="G538" t="s">
        <v>2037</v>
      </c>
      <c r="H538" t="s">
        <v>2038</v>
      </c>
    </row>
    <row r="539" spans="1:8" x14ac:dyDescent="0.25">
      <c r="A539" t="s">
        <v>164</v>
      </c>
      <c r="B539" t="s">
        <v>172</v>
      </c>
      <c r="C539" t="s">
        <v>1129</v>
      </c>
      <c r="D539" t="s">
        <v>1183</v>
      </c>
      <c r="E539" t="s">
        <v>172</v>
      </c>
      <c r="F539" t="s">
        <v>2532</v>
      </c>
      <c r="G539" t="s">
        <v>2037</v>
      </c>
      <c r="H539" t="s">
        <v>2038</v>
      </c>
    </row>
    <row r="540" spans="1:8" x14ac:dyDescent="0.25">
      <c r="A540" t="s">
        <v>164</v>
      </c>
      <c r="B540" t="s">
        <v>173</v>
      </c>
      <c r="C540" t="s">
        <v>1131</v>
      </c>
      <c r="D540" t="s">
        <v>1184</v>
      </c>
      <c r="E540" t="s">
        <v>173</v>
      </c>
      <c r="F540" t="s">
        <v>2533</v>
      </c>
      <c r="G540" t="s">
        <v>2037</v>
      </c>
      <c r="H540" t="s">
        <v>2038</v>
      </c>
    </row>
    <row r="541" spans="1:8" x14ac:dyDescent="0.25">
      <c r="A541" t="s">
        <v>164</v>
      </c>
      <c r="B541" t="s">
        <v>174</v>
      </c>
      <c r="C541" t="s">
        <v>1133</v>
      </c>
      <c r="D541" t="s">
        <v>1185</v>
      </c>
      <c r="E541" t="s">
        <v>174</v>
      </c>
      <c r="F541" t="s">
        <v>2534</v>
      </c>
      <c r="G541" t="s">
        <v>2037</v>
      </c>
      <c r="H541" t="s">
        <v>2038</v>
      </c>
    </row>
    <row r="542" spans="1:8" x14ac:dyDescent="0.25">
      <c r="A542" t="s">
        <v>164</v>
      </c>
      <c r="B542" t="s">
        <v>26</v>
      </c>
      <c r="C542" t="s">
        <v>1135</v>
      </c>
      <c r="D542" t="s">
        <v>1186</v>
      </c>
      <c r="E542" t="s">
        <v>687</v>
      </c>
      <c r="F542" t="s">
        <v>2535</v>
      </c>
      <c r="G542" t="s">
        <v>2037</v>
      </c>
      <c r="H542" t="s">
        <v>2038</v>
      </c>
    </row>
    <row r="543" spans="1:8" x14ac:dyDescent="0.25">
      <c r="A543" t="s">
        <v>159</v>
      </c>
      <c r="B543" t="s">
        <v>28</v>
      </c>
      <c r="C543" t="s">
        <v>690</v>
      </c>
      <c r="F543" t="s">
        <v>2536</v>
      </c>
      <c r="G543" t="s">
        <v>2037</v>
      </c>
      <c r="H543" t="s">
        <v>2038</v>
      </c>
    </row>
    <row r="544" spans="1:8" x14ac:dyDescent="0.25">
      <c r="A544" t="s">
        <v>159</v>
      </c>
      <c r="B544" t="s">
        <v>29</v>
      </c>
      <c r="C544" t="s">
        <v>693</v>
      </c>
      <c r="F544" t="s">
        <v>2537</v>
      </c>
      <c r="G544" t="s">
        <v>2037</v>
      </c>
      <c r="H544" t="s">
        <v>2038</v>
      </c>
    </row>
    <row r="545" spans="1:8" x14ac:dyDescent="0.25">
      <c r="A545" t="s">
        <v>175</v>
      </c>
      <c r="B545" t="s">
        <v>3</v>
      </c>
      <c r="C545" t="s">
        <v>633</v>
      </c>
      <c r="D545" t="s">
        <v>1187</v>
      </c>
      <c r="E545" t="s">
        <v>3</v>
      </c>
      <c r="F545" t="s">
        <v>2538</v>
      </c>
      <c r="G545" t="s">
        <v>2037</v>
      </c>
      <c r="H545" t="s">
        <v>2038</v>
      </c>
    </row>
    <row r="546" spans="1:8" x14ac:dyDescent="0.25">
      <c r="A546" t="s">
        <v>175</v>
      </c>
      <c r="B546" t="s">
        <v>27</v>
      </c>
      <c r="C546" t="s">
        <v>688</v>
      </c>
      <c r="D546" t="s">
        <v>1188</v>
      </c>
      <c r="E546" t="s">
        <v>1188</v>
      </c>
      <c r="F546" t="s">
        <v>2539</v>
      </c>
      <c r="G546" t="s">
        <v>2037</v>
      </c>
      <c r="H546" t="s">
        <v>2038</v>
      </c>
    </row>
    <row r="547" spans="1:8" x14ac:dyDescent="0.25">
      <c r="A547" t="s">
        <v>176</v>
      </c>
      <c r="B547" t="s">
        <v>5</v>
      </c>
      <c r="C547" t="s">
        <v>1096</v>
      </c>
      <c r="D547" t="s">
        <v>1189</v>
      </c>
      <c r="E547" t="s">
        <v>638</v>
      </c>
      <c r="F547" t="s">
        <v>2540</v>
      </c>
      <c r="G547" t="s">
        <v>2037</v>
      </c>
      <c r="H547" t="s">
        <v>2038</v>
      </c>
    </row>
    <row r="548" spans="1:8" x14ac:dyDescent="0.25">
      <c r="A548" t="s">
        <v>176</v>
      </c>
      <c r="B548" t="s">
        <v>125</v>
      </c>
      <c r="C548" t="s">
        <v>1098</v>
      </c>
      <c r="D548" t="s">
        <v>1190</v>
      </c>
      <c r="E548" t="s">
        <v>1100</v>
      </c>
      <c r="F548" t="s">
        <v>2541</v>
      </c>
      <c r="G548" t="s">
        <v>2037</v>
      </c>
      <c r="H548" t="s">
        <v>2038</v>
      </c>
    </row>
    <row r="549" spans="1:8" x14ac:dyDescent="0.25">
      <c r="A549" t="s">
        <v>176</v>
      </c>
      <c r="B549" t="s">
        <v>177</v>
      </c>
      <c r="C549" t="s">
        <v>1101</v>
      </c>
      <c r="D549" t="s">
        <v>1191</v>
      </c>
      <c r="E549" t="s">
        <v>1103</v>
      </c>
      <c r="F549" t="s">
        <v>2542</v>
      </c>
      <c r="G549" t="s">
        <v>2037</v>
      </c>
      <c r="H549" t="s">
        <v>2038</v>
      </c>
    </row>
    <row r="550" spans="1:8" x14ac:dyDescent="0.25">
      <c r="A550" t="s">
        <v>176</v>
      </c>
      <c r="B550" t="s">
        <v>178</v>
      </c>
      <c r="C550" t="s">
        <v>1104</v>
      </c>
      <c r="D550" t="s">
        <v>1192</v>
      </c>
      <c r="E550" t="s">
        <v>178</v>
      </c>
      <c r="F550" t="s">
        <v>2543</v>
      </c>
      <c r="G550" t="s">
        <v>2037</v>
      </c>
      <c r="H550" t="s">
        <v>2038</v>
      </c>
    </row>
    <row r="551" spans="1:8" x14ac:dyDescent="0.25">
      <c r="A551" t="s">
        <v>176</v>
      </c>
      <c r="B551" t="s">
        <v>179</v>
      </c>
      <c r="C551" t="s">
        <v>1106</v>
      </c>
      <c r="D551" t="s">
        <v>1193</v>
      </c>
      <c r="E551" t="s">
        <v>179</v>
      </c>
      <c r="F551" t="s">
        <v>2544</v>
      </c>
      <c r="G551" t="s">
        <v>2037</v>
      </c>
      <c r="H551" t="s">
        <v>2038</v>
      </c>
    </row>
    <row r="552" spans="1:8" x14ac:dyDescent="0.25">
      <c r="A552" t="s">
        <v>176</v>
      </c>
      <c r="B552" t="s">
        <v>180</v>
      </c>
      <c r="C552" t="s">
        <v>1108</v>
      </c>
      <c r="D552" t="s">
        <v>1194</v>
      </c>
      <c r="E552" t="s">
        <v>180</v>
      </c>
      <c r="F552" t="s">
        <v>2545</v>
      </c>
      <c r="G552" t="s">
        <v>2037</v>
      </c>
      <c r="H552" t="s">
        <v>2038</v>
      </c>
    </row>
    <row r="553" spans="1:8" x14ac:dyDescent="0.25">
      <c r="A553" t="s">
        <v>176</v>
      </c>
      <c r="B553" t="s">
        <v>8</v>
      </c>
      <c r="C553" t="s">
        <v>1110</v>
      </c>
      <c r="D553" t="s">
        <v>1195</v>
      </c>
      <c r="E553" t="s">
        <v>8</v>
      </c>
      <c r="F553" t="s">
        <v>2546</v>
      </c>
      <c r="G553" t="s">
        <v>2037</v>
      </c>
      <c r="H553" t="s">
        <v>2038</v>
      </c>
    </row>
    <row r="554" spans="1:8" x14ac:dyDescent="0.25">
      <c r="A554" t="s">
        <v>176</v>
      </c>
      <c r="B554" t="s">
        <v>14</v>
      </c>
      <c r="C554" t="s">
        <v>1112</v>
      </c>
      <c r="D554" t="s">
        <v>1196</v>
      </c>
      <c r="E554" t="s">
        <v>663</v>
      </c>
      <c r="F554" t="s">
        <v>2547</v>
      </c>
      <c r="G554" t="s">
        <v>2037</v>
      </c>
      <c r="H554" t="s">
        <v>2038</v>
      </c>
    </row>
    <row r="555" spans="1:8" x14ac:dyDescent="0.25">
      <c r="D555" t="s">
        <v>1197</v>
      </c>
      <c r="E555" t="s">
        <v>1198</v>
      </c>
      <c r="F555" t="s">
        <v>2079</v>
      </c>
    </row>
    <row r="556" spans="1:8" x14ac:dyDescent="0.25">
      <c r="A556" t="s">
        <v>181</v>
      </c>
      <c r="B556" t="s">
        <v>16</v>
      </c>
      <c r="C556" t="s">
        <v>1116</v>
      </c>
      <c r="D556" t="s">
        <v>1199</v>
      </c>
      <c r="E556" t="s">
        <v>16</v>
      </c>
      <c r="F556" t="s">
        <v>2548</v>
      </c>
      <c r="G556" t="s">
        <v>2037</v>
      </c>
      <c r="H556" t="s">
        <v>2038</v>
      </c>
    </row>
    <row r="557" spans="1:8" x14ac:dyDescent="0.25">
      <c r="A557" t="s">
        <v>181</v>
      </c>
      <c r="B557" t="s">
        <v>17</v>
      </c>
      <c r="C557" t="s">
        <v>1118</v>
      </c>
      <c r="D557" t="s">
        <v>1200</v>
      </c>
      <c r="E557" t="s">
        <v>17</v>
      </c>
      <c r="F557" t="s">
        <v>2549</v>
      </c>
      <c r="G557" t="s">
        <v>2037</v>
      </c>
      <c r="H557" t="s">
        <v>2038</v>
      </c>
    </row>
    <row r="558" spans="1:8" x14ac:dyDescent="0.25">
      <c r="A558" t="s">
        <v>181</v>
      </c>
      <c r="B558" t="s">
        <v>182</v>
      </c>
      <c r="C558" t="s">
        <v>673</v>
      </c>
      <c r="D558" t="s">
        <v>1201</v>
      </c>
      <c r="E558" t="s">
        <v>182</v>
      </c>
      <c r="F558" t="s">
        <v>2550</v>
      </c>
      <c r="G558" t="s">
        <v>2037</v>
      </c>
      <c r="H558" t="s">
        <v>2038</v>
      </c>
    </row>
    <row r="559" spans="1:8" x14ac:dyDescent="0.25">
      <c r="A559" t="s">
        <v>181</v>
      </c>
      <c r="B559" t="s">
        <v>183</v>
      </c>
      <c r="C559" t="s">
        <v>675</v>
      </c>
      <c r="D559" t="s">
        <v>1202</v>
      </c>
      <c r="E559" t="s">
        <v>183</v>
      </c>
      <c r="F559" t="s">
        <v>2551</v>
      </c>
      <c r="G559" t="s">
        <v>2037</v>
      </c>
      <c r="H559" t="s">
        <v>2038</v>
      </c>
    </row>
    <row r="560" spans="1:8" x14ac:dyDescent="0.25">
      <c r="A560" t="s">
        <v>181</v>
      </c>
      <c r="B560" t="s">
        <v>184</v>
      </c>
      <c r="C560" t="s">
        <v>677</v>
      </c>
      <c r="D560" t="s">
        <v>1203</v>
      </c>
      <c r="E560" t="s">
        <v>184</v>
      </c>
      <c r="F560" t="s">
        <v>2552</v>
      </c>
      <c r="G560" t="s">
        <v>2037</v>
      </c>
      <c r="H560" t="s">
        <v>2038</v>
      </c>
    </row>
    <row r="561" spans="1:8" x14ac:dyDescent="0.25">
      <c r="A561" t="s">
        <v>181</v>
      </c>
      <c r="B561" t="s">
        <v>185</v>
      </c>
      <c r="C561" t="s">
        <v>679</v>
      </c>
      <c r="D561" t="s">
        <v>1204</v>
      </c>
      <c r="E561" t="s">
        <v>185</v>
      </c>
      <c r="F561" t="s">
        <v>2553</v>
      </c>
      <c r="G561" t="s">
        <v>2037</v>
      </c>
      <c r="H561" t="s">
        <v>2038</v>
      </c>
    </row>
    <row r="562" spans="1:8" x14ac:dyDescent="0.25">
      <c r="A562" t="s">
        <v>181</v>
      </c>
      <c r="B562" t="s">
        <v>186</v>
      </c>
      <c r="C562" t="s">
        <v>1124</v>
      </c>
      <c r="D562" t="s">
        <v>1205</v>
      </c>
      <c r="E562" t="s">
        <v>186</v>
      </c>
      <c r="F562" t="s">
        <v>2554</v>
      </c>
      <c r="G562" t="s">
        <v>2037</v>
      </c>
      <c r="H562" t="s">
        <v>2038</v>
      </c>
    </row>
    <row r="563" spans="1:8" x14ac:dyDescent="0.25">
      <c r="A563" t="s">
        <v>181</v>
      </c>
      <c r="B563" t="s">
        <v>187</v>
      </c>
      <c r="C563" t="s">
        <v>1126</v>
      </c>
      <c r="D563" t="s">
        <v>1206</v>
      </c>
      <c r="E563" t="s">
        <v>187</v>
      </c>
      <c r="F563" t="s">
        <v>2555</v>
      </c>
      <c r="G563" t="s">
        <v>2037</v>
      </c>
      <c r="H563" t="s">
        <v>2038</v>
      </c>
    </row>
    <row r="564" spans="1:8" x14ac:dyDescent="0.25">
      <c r="A564" t="s">
        <v>181</v>
      </c>
      <c r="B564" t="s">
        <v>188</v>
      </c>
      <c r="C564" t="s">
        <v>671</v>
      </c>
      <c r="D564" t="s">
        <v>1207</v>
      </c>
      <c r="E564" t="s">
        <v>188</v>
      </c>
      <c r="F564" t="s">
        <v>2556</v>
      </c>
      <c r="G564" t="s">
        <v>2037</v>
      </c>
      <c r="H564" t="s">
        <v>2038</v>
      </c>
    </row>
    <row r="565" spans="1:8" x14ac:dyDescent="0.25">
      <c r="A565" t="s">
        <v>181</v>
      </c>
      <c r="B565" t="s">
        <v>189</v>
      </c>
      <c r="C565" t="s">
        <v>1129</v>
      </c>
      <c r="D565" t="s">
        <v>1208</v>
      </c>
      <c r="E565" t="s">
        <v>189</v>
      </c>
      <c r="F565" t="s">
        <v>2557</v>
      </c>
      <c r="G565" t="s">
        <v>2037</v>
      </c>
      <c r="H565" t="s">
        <v>2038</v>
      </c>
    </row>
    <row r="566" spans="1:8" x14ac:dyDescent="0.25">
      <c r="A566" t="s">
        <v>181</v>
      </c>
      <c r="B566" t="s">
        <v>190</v>
      </c>
      <c r="C566" t="s">
        <v>1131</v>
      </c>
      <c r="D566" t="s">
        <v>1209</v>
      </c>
      <c r="E566" t="s">
        <v>190</v>
      </c>
      <c r="F566" t="s">
        <v>2558</v>
      </c>
      <c r="G566" t="s">
        <v>2037</v>
      </c>
      <c r="H566" t="s">
        <v>2038</v>
      </c>
    </row>
    <row r="567" spans="1:8" x14ac:dyDescent="0.25">
      <c r="A567" t="s">
        <v>181</v>
      </c>
      <c r="B567" t="s">
        <v>191</v>
      </c>
      <c r="C567" t="s">
        <v>1133</v>
      </c>
      <c r="D567" t="s">
        <v>1210</v>
      </c>
      <c r="E567" t="s">
        <v>191</v>
      </c>
      <c r="F567" t="s">
        <v>2559</v>
      </c>
      <c r="G567" t="s">
        <v>2037</v>
      </c>
      <c r="H567" t="s">
        <v>2038</v>
      </c>
    </row>
    <row r="568" spans="1:8" x14ac:dyDescent="0.25">
      <c r="A568" t="s">
        <v>181</v>
      </c>
      <c r="B568" t="s">
        <v>26</v>
      </c>
      <c r="C568" t="s">
        <v>1135</v>
      </c>
      <c r="D568" t="s">
        <v>1211</v>
      </c>
      <c r="E568" t="s">
        <v>687</v>
      </c>
      <c r="F568" t="s">
        <v>2560</v>
      </c>
      <c r="G568" t="s">
        <v>2037</v>
      </c>
      <c r="H568" t="s">
        <v>2038</v>
      </c>
    </row>
    <row r="569" spans="1:8" x14ac:dyDescent="0.25">
      <c r="A569" t="s">
        <v>176</v>
      </c>
      <c r="B569" t="s">
        <v>28</v>
      </c>
      <c r="C569" t="s">
        <v>690</v>
      </c>
      <c r="F569" t="s">
        <v>2561</v>
      </c>
      <c r="G569" t="s">
        <v>2037</v>
      </c>
      <c r="H569" t="s">
        <v>2038</v>
      </c>
    </row>
    <row r="570" spans="1:8" x14ac:dyDescent="0.25">
      <c r="A570" t="s">
        <v>176</v>
      </c>
      <c r="B570" t="s">
        <v>29</v>
      </c>
      <c r="C570" t="s">
        <v>693</v>
      </c>
      <c r="F570" t="s">
        <v>2562</v>
      </c>
      <c r="G570" t="s">
        <v>2037</v>
      </c>
      <c r="H570" t="s">
        <v>2038</v>
      </c>
    </row>
    <row r="571" spans="1:8" x14ac:dyDescent="0.25">
      <c r="A571" t="s">
        <v>192</v>
      </c>
      <c r="B571" t="s">
        <v>193</v>
      </c>
      <c r="C571" t="s">
        <v>1212</v>
      </c>
      <c r="D571" t="s">
        <v>1213</v>
      </c>
      <c r="E571" t="s">
        <v>3</v>
      </c>
      <c r="F571" t="s">
        <v>2563</v>
      </c>
      <c r="G571" t="s">
        <v>2037</v>
      </c>
      <c r="H571" t="s">
        <v>2038</v>
      </c>
    </row>
    <row r="572" spans="1:8" x14ac:dyDescent="0.25">
      <c r="A572" t="s">
        <v>192</v>
      </c>
      <c r="B572" t="s">
        <v>3</v>
      </c>
      <c r="C572" t="s">
        <v>1214</v>
      </c>
      <c r="D572" t="s">
        <v>1215</v>
      </c>
      <c r="E572" t="s">
        <v>193</v>
      </c>
      <c r="F572" t="s">
        <v>2564</v>
      </c>
      <c r="G572" t="s">
        <v>2037</v>
      </c>
      <c r="H572" t="s">
        <v>2038</v>
      </c>
    </row>
    <row r="573" spans="1:8" x14ac:dyDescent="0.25">
      <c r="A573" t="s">
        <v>192</v>
      </c>
      <c r="B573" t="s">
        <v>27</v>
      </c>
      <c r="C573" t="s">
        <v>688</v>
      </c>
      <c r="D573" t="s">
        <v>1216</v>
      </c>
      <c r="E573" t="s">
        <v>1216</v>
      </c>
      <c r="F573" t="s">
        <v>2565</v>
      </c>
      <c r="G573" t="s">
        <v>2037</v>
      </c>
      <c r="H573" t="s">
        <v>2038</v>
      </c>
    </row>
    <row r="574" spans="1:8" x14ac:dyDescent="0.25">
      <c r="A574" t="s">
        <v>194</v>
      </c>
      <c r="B574" t="s">
        <v>5</v>
      </c>
      <c r="C574" t="s">
        <v>1217</v>
      </c>
      <c r="D574" t="s">
        <v>1218</v>
      </c>
      <c r="E574" t="s">
        <v>638</v>
      </c>
      <c r="F574" t="s">
        <v>2566</v>
      </c>
      <c r="G574" t="s">
        <v>2037</v>
      </c>
      <c r="H574" t="s">
        <v>2038</v>
      </c>
    </row>
    <row r="575" spans="1:8" x14ac:dyDescent="0.25">
      <c r="A575" t="s">
        <v>194</v>
      </c>
      <c r="B575" t="s">
        <v>125</v>
      </c>
      <c r="C575" t="s">
        <v>1219</v>
      </c>
      <c r="D575" t="s">
        <v>1220</v>
      </c>
      <c r="E575" t="s">
        <v>1100</v>
      </c>
      <c r="F575" t="s">
        <v>2567</v>
      </c>
      <c r="G575" t="s">
        <v>2037</v>
      </c>
      <c r="H575" t="s">
        <v>2038</v>
      </c>
    </row>
    <row r="576" spans="1:8" x14ac:dyDescent="0.25">
      <c r="A576" t="s">
        <v>194</v>
      </c>
      <c r="B576" t="s">
        <v>195</v>
      </c>
      <c r="C576" t="s">
        <v>1221</v>
      </c>
      <c r="D576" t="s">
        <v>1222</v>
      </c>
      <c r="E576" t="s">
        <v>195</v>
      </c>
      <c r="F576" t="s">
        <v>2568</v>
      </c>
      <c r="G576" t="s">
        <v>2037</v>
      </c>
      <c r="H576" t="s">
        <v>2038</v>
      </c>
    </row>
    <row r="577" spans="1:8" x14ac:dyDescent="0.25">
      <c r="A577" t="s">
        <v>194</v>
      </c>
      <c r="B577" t="s">
        <v>196</v>
      </c>
      <c r="C577" t="s">
        <v>1223</v>
      </c>
      <c r="D577" t="s">
        <v>1224</v>
      </c>
      <c r="E577" t="s">
        <v>196</v>
      </c>
      <c r="F577" t="s">
        <v>2569</v>
      </c>
      <c r="G577" t="s">
        <v>2037</v>
      </c>
      <c r="H577" t="s">
        <v>2038</v>
      </c>
    </row>
    <row r="578" spans="1:8" x14ac:dyDescent="0.25">
      <c r="A578" t="s">
        <v>194</v>
      </c>
      <c r="B578" t="s">
        <v>197</v>
      </c>
      <c r="C578" t="s">
        <v>1225</v>
      </c>
      <c r="D578" t="s">
        <v>1226</v>
      </c>
      <c r="E578" t="s">
        <v>197</v>
      </c>
      <c r="F578" t="s">
        <v>2570</v>
      </c>
      <c r="G578" t="s">
        <v>2037</v>
      </c>
      <c r="H578" t="s">
        <v>2038</v>
      </c>
    </row>
    <row r="579" spans="1:8" x14ac:dyDescent="0.25">
      <c r="A579" t="s">
        <v>194</v>
      </c>
      <c r="B579" t="s">
        <v>198</v>
      </c>
      <c r="C579" t="s">
        <v>1227</v>
      </c>
      <c r="D579" t="s">
        <v>1228</v>
      </c>
      <c r="E579" t="s">
        <v>198</v>
      </c>
      <c r="F579" t="s">
        <v>2571</v>
      </c>
      <c r="G579" t="s">
        <v>2037</v>
      </c>
      <c r="H579" t="s">
        <v>2038</v>
      </c>
    </row>
    <row r="580" spans="1:8" x14ac:dyDescent="0.25">
      <c r="A580" t="s">
        <v>194</v>
      </c>
      <c r="B580" t="s">
        <v>199</v>
      </c>
      <c r="C580" t="s">
        <v>1229</v>
      </c>
      <c r="D580" t="s">
        <v>1230</v>
      </c>
      <c r="E580" t="s">
        <v>199</v>
      </c>
      <c r="F580" t="s">
        <v>2572</v>
      </c>
      <c r="G580" t="s">
        <v>2037</v>
      </c>
      <c r="H580" t="s">
        <v>2038</v>
      </c>
    </row>
    <row r="581" spans="1:8" x14ac:dyDescent="0.25">
      <c r="A581" t="s">
        <v>194</v>
      </c>
      <c r="B581" t="s">
        <v>8</v>
      </c>
      <c r="C581" t="s">
        <v>1231</v>
      </c>
      <c r="D581" t="s">
        <v>1232</v>
      </c>
      <c r="E581" t="s">
        <v>8</v>
      </c>
      <c r="F581" t="s">
        <v>2573</v>
      </c>
      <c r="G581" t="s">
        <v>2037</v>
      </c>
      <c r="H581" t="s">
        <v>2038</v>
      </c>
    </row>
    <row r="582" spans="1:8" x14ac:dyDescent="0.25">
      <c r="A582" t="s">
        <v>194</v>
      </c>
      <c r="B582" t="s">
        <v>29</v>
      </c>
      <c r="C582" t="s">
        <v>693</v>
      </c>
      <c r="D582" t="s">
        <v>70</v>
      </c>
      <c r="E582" t="s">
        <v>70</v>
      </c>
      <c r="F582" t="s">
        <v>2574</v>
      </c>
      <c r="G582" t="s">
        <v>2037</v>
      </c>
      <c r="H582" t="s">
        <v>2038</v>
      </c>
    </row>
    <row r="583" spans="1:8" x14ac:dyDescent="0.25">
      <c r="A583" t="s">
        <v>194</v>
      </c>
      <c r="B583" t="s">
        <v>28</v>
      </c>
      <c r="C583" t="s">
        <v>1233</v>
      </c>
      <c r="D583" t="s">
        <v>70</v>
      </c>
      <c r="E583" t="s">
        <v>70</v>
      </c>
      <c r="F583" t="s">
        <v>2575</v>
      </c>
      <c r="G583" t="s">
        <v>2037</v>
      </c>
      <c r="H583" t="s">
        <v>2038</v>
      </c>
    </row>
    <row r="584" spans="1:8" x14ac:dyDescent="0.25">
      <c r="A584" t="s">
        <v>194</v>
      </c>
      <c r="B584" t="s">
        <v>14</v>
      </c>
      <c r="C584" t="s">
        <v>728</v>
      </c>
      <c r="D584" t="s">
        <v>1234</v>
      </c>
      <c r="E584" t="s">
        <v>687</v>
      </c>
      <c r="F584" t="s">
        <v>2576</v>
      </c>
      <c r="G584" t="s">
        <v>2037</v>
      </c>
      <c r="H584" t="s">
        <v>2038</v>
      </c>
    </row>
    <row r="585" spans="1:8" x14ac:dyDescent="0.25">
      <c r="A585" t="s">
        <v>200</v>
      </c>
      <c r="B585" t="s">
        <v>31</v>
      </c>
      <c r="C585" t="s">
        <v>1235</v>
      </c>
      <c r="D585" t="s">
        <v>1236</v>
      </c>
      <c r="E585" t="s">
        <v>31</v>
      </c>
      <c r="F585" t="s">
        <v>2577</v>
      </c>
      <c r="G585" t="s">
        <v>2037</v>
      </c>
      <c r="H585" t="s">
        <v>2038</v>
      </c>
    </row>
    <row r="586" spans="1:8" x14ac:dyDescent="0.25">
      <c r="A586" t="s">
        <v>200</v>
      </c>
      <c r="B586" t="s">
        <v>17</v>
      </c>
      <c r="C586" t="s">
        <v>1237</v>
      </c>
      <c r="D586" t="s">
        <v>1238</v>
      </c>
      <c r="E586" t="s">
        <v>17</v>
      </c>
      <c r="F586" t="s">
        <v>2578</v>
      </c>
      <c r="G586" t="s">
        <v>2037</v>
      </c>
      <c r="H586" t="s">
        <v>2038</v>
      </c>
    </row>
    <row r="587" spans="1:8" x14ac:dyDescent="0.25">
      <c r="A587" t="s">
        <v>200</v>
      </c>
      <c r="B587" t="s">
        <v>16</v>
      </c>
      <c r="C587" t="s">
        <v>1239</v>
      </c>
      <c r="D587" t="s">
        <v>1240</v>
      </c>
      <c r="E587" t="s">
        <v>16</v>
      </c>
      <c r="F587" t="s">
        <v>2579</v>
      </c>
      <c r="G587" t="s">
        <v>2037</v>
      </c>
      <c r="H587" t="s">
        <v>2038</v>
      </c>
    </row>
    <row r="588" spans="1:8" x14ac:dyDescent="0.25">
      <c r="A588" t="s">
        <v>200</v>
      </c>
      <c r="B588" t="s">
        <v>201</v>
      </c>
      <c r="C588" t="s">
        <v>1241</v>
      </c>
      <c r="D588" t="s">
        <v>1242</v>
      </c>
      <c r="E588" t="s">
        <v>702</v>
      </c>
      <c r="F588" t="s">
        <v>2580</v>
      </c>
      <c r="G588" t="s">
        <v>2037</v>
      </c>
      <c r="H588" t="s">
        <v>2038</v>
      </c>
    </row>
    <row r="589" spans="1:8" x14ac:dyDescent="0.25">
      <c r="A589" t="s">
        <v>200</v>
      </c>
      <c r="B589" t="s">
        <v>202</v>
      </c>
      <c r="C589" t="s">
        <v>1243</v>
      </c>
      <c r="D589" t="s">
        <v>1244</v>
      </c>
      <c r="E589" t="s">
        <v>705</v>
      </c>
      <c r="F589" t="s">
        <v>2581</v>
      </c>
      <c r="G589" t="s">
        <v>2037</v>
      </c>
      <c r="H589" t="s">
        <v>2038</v>
      </c>
    </row>
    <row r="590" spans="1:8" x14ac:dyDescent="0.25">
      <c r="A590" t="s">
        <v>200</v>
      </c>
      <c r="B590" t="s">
        <v>203</v>
      </c>
      <c r="C590" t="s">
        <v>1245</v>
      </c>
      <c r="D590" t="s">
        <v>1246</v>
      </c>
      <c r="E590" t="s">
        <v>708</v>
      </c>
      <c r="F590" t="s">
        <v>2582</v>
      </c>
      <c r="G590" t="s">
        <v>2037</v>
      </c>
      <c r="H590" t="s">
        <v>2038</v>
      </c>
    </row>
    <row r="591" spans="1:8" x14ac:dyDescent="0.25">
      <c r="A591" t="s">
        <v>200</v>
      </c>
      <c r="B591" t="s">
        <v>8</v>
      </c>
      <c r="C591" t="s">
        <v>1247</v>
      </c>
      <c r="D591" t="s">
        <v>1248</v>
      </c>
      <c r="E591" t="s">
        <v>645</v>
      </c>
      <c r="F591" t="s">
        <v>2583</v>
      </c>
      <c r="G591" t="s">
        <v>2037</v>
      </c>
      <c r="H591" t="s">
        <v>2038</v>
      </c>
    </row>
    <row r="592" spans="1:8" x14ac:dyDescent="0.25">
      <c r="A592" t="s">
        <v>200</v>
      </c>
      <c r="B592" t="s">
        <v>8</v>
      </c>
      <c r="C592" t="s">
        <v>1249</v>
      </c>
      <c r="D592" t="s">
        <v>1250</v>
      </c>
      <c r="E592" t="s">
        <v>660</v>
      </c>
      <c r="F592" t="s">
        <v>2584</v>
      </c>
      <c r="G592" t="s">
        <v>2037</v>
      </c>
      <c r="H592" t="s">
        <v>2038</v>
      </c>
    </row>
    <row r="593" spans="1:8" x14ac:dyDescent="0.25">
      <c r="A593" t="s">
        <v>200</v>
      </c>
      <c r="B593" t="s">
        <v>26</v>
      </c>
      <c r="C593" t="s">
        <v>728</v>
      </c>
      <c r="D593" t="s">
        <v>1251</v>
      </c>
      <c r="E593" t="s">
        <v>687</v>
      </c>
      <c r="F593" t="s">
        <v>2585</v>
      </c>
      <c r="G593" t="s">
        <v>2037</v>
      </c>
      <c r="H593" t="s">
        <v>2038</v>
      </c>
    </row>
    <row r="594" spans="1:8" x14ac:dyDescent="0.25">
      <c r="A594" t="s">
        <v>204</v>
      </c>
      <c r="B594" t="s">
        <v>204</v>
      </c>
      <c r="C594" t="s">
        <v>204</v>
      </c>
      <c r="D594" t="s">
        <v>1252</v>
      </c>
      <c r="E594" t="s">
        <v>403</v>
      </c>
      <c r="F594" t="s">
        <v>2079</v>
      </c>
    </row>
    <row r="595" spans="1:8" x14ac:dyDescent="0.25">
      <c r="A595" t="s">
        <v>204</v>
      </c>
      <c r="B595" t="s">
        <v>204</v>
      </c>
      <c r="C595" t="s">
        <v>204</v>
      </c>
      <c r="D595" t="s">
        <v>1253</v>
      </c>
      <c r="E595" t="s">
        <v>8</v>
      </c>
      <c r="F595" t="s">
        <v>2079</v>
      </c>
    </row>
    <row r="596" spans="1:8" x14ac:dyDescent="0.25">
      <c r="A596" t="s">
        <v>204</v>
      </c>
      <c r="B596" t="s">
        <v>204</v>
      </c>
      <c r="C596" t="s">
        <v>204</v>
      </c>
      <c r="D596" t="s">
        <v>1254</v>
      </c>
      <c r="E596" t="s">
        <v>1255</v>
      </c>
      <c r="F596" t="s">
        <v>2079</v>
      </c>
    </row>
    <row r="597" spans="1:8" x14ac:dyDescent="0.25">
      <c r="A597" t="s">
        <v>204</v>
      </c>
      <c r="B597" t="s">
        <v>204</v>
      </c>
      <c r="C597" t="s">
        <v>204</v>
      </c>
      <c r="D597" t="s">
        <v>1256</v>
      </c>
      <c r="E597" t="s">
        <v>1257</v>
      </c>
      <c r="F597" t="s">
        <v>2079</v>
      </c>
    </row>
    <row r="598" spans="1:8" x14ac:dyDescent="0.25">
      <c r="A598" t="s">
        <v>204</v>
      </c>
      <c r="B598" t="s">
        <v>204</v>
      </c>
      <c r="C598" t="s">
        <v>204</v>
      </c>
      <c r="D598" t="s">
        <v>1258</v>
      </c>
      <c r="E598" t="s">
        <v>1259</v>
      </c>
      <c r="F598" t="s">
        <v>2079</v>
      </c>
    </row>
    <row r="599" spans="1:8" x14ac:dyDescent="0.25">
      <c r="A599" t="s">
        <v>204</v>
      </c>
      <c r="B599" t="s">
        <v>204</v>
      </c>
      <c r="C599" t="s">
        <v>204</v>
      </c>
      <c r="D599" t="s">
        <v>1260</v>
      </c>
      <c r="E599" t="s">
        <v>1261</v>
      </c>
      <c r="F599" t="s">
        <v>2079</v>
      </c>
    </row>
    <row r="600" spans="1:8" x14ac:dyDescent="0.25">
      <c r="A600" t="s">
        <v>204</v>
      </c>
      <c r="B600" t="s">
        <v>204</v>
      </c>
      <c r="C600" t="s">
        <v>204</v>
      </c>
      <c r="D600" t="s">
        <v>1262</v>
      </c>
      <c r="E600" t="s">
        <v>1263</v>
      </c>
      <c r="F600" t="s">
        <v>2079</v>
      </c>
    </row>
    <row r="601" spans="1:8" x14ac:dyDescent="0.25">
      <c r="A601" t="s">
        <v>204</v>
      </c>
      <c r="B601" t="s">
        <v>204</v>
      </c>
      <c r="C601" t="s">
        <v>204</v>
      </c>
      <c r="D601" t="s">
        <v>1264</v>
      </c>
      <c r="E601" t="s">
        <v>1265</v>
      </c>
      <c r="F601" t="s">
        <v>2079</v>
      </c>
    </row>
    <row r="602" spans="1:8" x14ac:dyDescent="0.25">
      <c r="A602" t="s">
        <v>204</v>
      </c>
      <c r="B602" t="s">
        <v>204</v>
      </c>
      <c r="C602" t="s">
        <v>204</v>
      </c>
      <c r="D602" t="s">
        <v>1266</v>
      </c>
      <c r="E602" t="s">
        <v>403</v>
      </c>
      <c r="F602" t="s">
        <v>2079</v>
      </c>
    </row>
    <row r="603" spans="1:8" x14ac:dyDescent="0.25">
      <c r="A603" t="s">
        <v>204</v>
      </c>
      <c r="B603" t="s">
        <v>204</v>
      </c>
      <c r="C603" t="s">
        <v>204</v>
      </c>
      <c r="D603" t="s">
        <v>1267</v>
      </c>
      <c r="E603" t="s">
        <v>8</v>
      </c>
      <c r="F603" t="s">
        <v>2079</v>
      </c>
    </row>
    <row r="604" spans="1:8" x14ac:dyDescent="0.25">
      <c r="A604" t="s">
        <v>204</v>
      </c>
      <c r="B604" t="s">
        <v>204</v>
      </c>
      <c r="C604" t="s">
        <v>204</v>
      </c>
      <c r="D604" t="s">
        <v>1268</v>
      </c>
      <c r="E604" t="s">
        <v>8</v>
      </c>
      <c r="F604" t="s">
        <v>2079</v>
      </c>
    </row>
    <row r="605" spans="1:8" x14ac:dyDescent="0.25">
      <c r="A605" t="s">
        <v>204</v>
      </c>
      <c r="B605" t="s">
        <v>204</v>
      </c>
      <c r="C605" t="s">
        <v>204</v>
      </c>
      <c r="D605" t="s">
        <v>1269</v>
      </c>
      <c r="E605" t="s">
        <v>1270</v>
      </c>
      <c r="F605" t="s">
        <v>2079</v>
      </c>
    </row>
    <row r="606" spans="1:8" x14ac:dyDescent="0.25">
      <c r="A606" t="s">
        <v>204</v>
      </c>
      <c r="B606" t="s">
        <v>204</v>
      </c>
      <c r="C606" t="s">
        <v>204</v>
      </c>
      <c r="D606" t="s">
        <v>1271</v>
      </c>
      <c r="E606" t="s">
        <v>1272</v>
      </c>
      <c r="F606" t="s">
        <v>2079</v>
      </c>
    </row>
    <row r="607" spans="1:8" x14ac:dyDescent="0.25">
      <c r="A607" t="s">
        <v>204</v>
      </c>
      <c r="B607" t="s">
        <v>204</v>
      </c>
      <c r="C607" t="s">
        <v>204</v>
      </c>
      <c r="D607" t="s">
        <v>1273</v>
      </c>
      <c r="E607" t="s">
        <v>1274</v>
      </c>
      <c r="F607" t="s">
        <v>2079</v>
      </c>
    </row>
    <row r="608" spans="1:8" x14ac:dyDescent="0.25">
      <c r="A608" t="s">
        <v>204</v>
      </c>
      <c r="B608" t="s">
        <v>204</v>
      </c>
      <c r="C608" t="s">
        <v>204</v>
      </c>
      <c r="D608" t="s">
        <v>1275</v>
      </c>
      <c r="E608" t="s">
        <v>1276</v>
      </c>
      <c r="F608" t="s">
        <v>2079</v>
      </c>
    </row>
    <row r="609" spans="1:6" x14ac:dyDescent="0.25">
      <c r="A609" t="s">
        <v>204</v>
      </c>
      <c r="B609" t="s">
        <v>204</v>
      </c>
      <c r="C609" t="s">
        <v>204</v>
      </c>
      <c r="D609" t="s">
        <v>1277</v>
      </c>
      <c r="E609" t="s">
        <v>1278</v>
      </c>
      <c r="F609" t="s">
        <v>2079</v>
      </c>
    </row>
    <row r="610" spans="1:6" x14ac:dyDescent="0.25">
      <c r="A610" t="s">
        <v>204</v>
      </c>
      <c r="B610" t="s">
        <v>204</v>
      </c>
      <c r="C610" t="s">
        <v>204</v>
      </c>
      <c r="D610" t="s">
        <v>1279</v>
      </c>
      <c r="E610" t="s">
        <v>403</v>
      </c>
      <c r="F610" t="s">
        <v>2079</v>
      </c>
    </row>
    <row r="611" spans="1:6" x14ac:dyDescent="0.25">
      <c r="A611" t="s">
        <v>204</v>
      </c>
      <c r="B611" t="s">
        <v>204</v>
      </c>
      <c r="C611" t="s">
        <v>204</v>
      </c>
      <c r="D611" t="s">
        <v>1280</v>
      </c>
      <c r="E611" t="s">
        <v>1281</v>
      </c>
      <c r="F611" t="s">
        <v>2079</v>
      </c>
    </row>
    <row r="612" spans="1:6" x14ac:dyDescent="0.25">
      <c r="A612" t="s">
        <v>204</v>
      </c>
      <c r="B612" t="s">
        <v>204</v>
      </c>
      <c r="C612" t="s">
        <v>204</v>
      </c>
      <c r="D612" t="s">
        <v>1282</v>
      </c>
      <c r="E612" t="s">
        <v>1283</v>
      </c>
      <c r="F612" t="s">
        <v>2079</v>
      </c>
    </row>
    <row r="613" spans="1:6" x14ac:dyDescent="0.25">
      <c r="A613" t="s">
        <v>204</v>
      </c>
      <c r="B613" t="s">
        <v>204</v>
      </c>
      <c r="C613" t="s">
        <v>204</v>
      </c>
      <c r="D613" t="s">
        <v>1284</v>
      </c>
      <c r="E613" t="s">
        <v>1285</v>
      </c>
      <c r="F613" t="s">
        <v>2079</v>
      </c>
    </row>
    <row r="614" spans="1:6" x14ac:dyDescent="0.25">
      <c r="A614" t="s">
        <v>204</v>
      </c>
      <c r="B614" t="s">
        <v>204</v>
      </c>
      <c r="C614" t="s">
        <v>204</v>
      </c>
      <c r="D614" t="s">
        <v>1286</v>
      </c>
      <c r="E614" t="s">
        <v>1287</v>
      </c>
      <c r="F614" t="s">
        <v>2079</v>
      </c>
    </row>
    <row r="615" spans="1:6" x14ac:dyDescent="0.25">
      <c r="A615" t="s">
        <v>204</v>
      </c>
      <c r="B615" t="s">
        <v>204</v>
      </c>
      <c r="C615" t="s">
        <v>204</v>
      </c>
      <c r="D615" t="s">
        <v>1288</v>
      </c>
      <c r="E615" t="s">
        <v>1289</v>
      </c>
      <c r="F615" t="s">
        <v>2079</v>
      </c>
    </row>
    <row r="616" spans="1:6" x14ac:dyDescent="0.25">
      <c r="A616" t="s">
        <v>204</v>
      </c>
      <c r="B616" t="s">
        <v>204</v>
      </c>
      <c r="C616" t="s">
        <v>204</v>
      </c>
      <c r="D616" t="s">
        <v>1290</v>
      </c>
      <c r="E616" t="s">
        <v>645</v>
      </c>
      <c r="F616" t="s">
        <v>2079</v>
      </c>
    </row>
    <row r="617" spans="1:6" x14ac:dyDescent="0.25">
      <c r="A617" t="s">
        <v>204</v>
      </c>
      <c r="B617" t="s">
        <v>204</v>
      </c>
      <c r="C617" t="s">
        <v>204</v>
      </c>
      <c r="D617" t="s">
        <v>1291</v>
      </c>
      <c r="E617" t="s">
        <v>660</v>
      </c>
      <c r="F617" t="s">
        <v>2079</v>
      </c>
    </row>
    <row r="618" spans="1:6" x14ac:dyDescent="0.25">
      <c r="A618" t="s">
        <v>204</v>
      </c>
      <c r="B618" t="s">
        <v>204</v>
      </c>
      <c r="C618" t="s">
        <v>204</v>
      </c>
      <c r="D618" t="s">
        <v>1292</v>
      </c>
      <c r="E618" t="s">
        <v>403</v>
      </c>
      <c r="F618" t="s">
        <v>2079</v>
      </c>
    </row>
    <row r="619" spans="1:6" x14ac:dyDescent="0.25">
      <c r="A619" t="s">
        <v>204</v>
      </c>
      <c r="B619" t="s">
        <v>204</v>
      </c>
      <c r="C619" t="s">
        <v>204</v>
      </c>
      <c r="D619" t="s">
        <v>1293</v>
      </c>
      <c r="E619" t="s">
        <v>645</v>
      </c>
      <c r="F619" t="s">
        <v>2079</v>
      </c>
    </row>
    <row r="620" spans="1:6" x14ac:dyDescent="0.25">
      <c r="A620" t="s">
        <v>204</v>
      </c>
      <c r="B620" t="s">
        <v>204</v>
      </c>
      <c r="C620" t="s">
        <v>204</v>
      </c>
      <c r="D620" t="s">
        <v>1294</v>
      </c>
      <c r="E620" t="s">
        <v>660</v>
      </c>
      <c r="F620" t="s">
        <v>2079</v>
      </c>
    </row>
    <row r="621" spans="1:6" x14ac:dyDescent="0.25">
      <c r="A621" t="s">
        <v>204</v>
      </c>
      <c r="B621" t="s">
        <v>204</v>
      </c>
      <c r="C621" t="s">
        <v>204</v>
      </c>
      <c r="D621" t="s">
        <v>1295</v>
      </c>
      <c r="E621" t="s">
        <v>1296</v>
      </c>
      <c r="F621" t="s">
        <v>2079</v>
      </c>
    </row>
    <row r="622" spans="1:6" x14ac:dyDescent="0.25">
      <c r="A622" t="s">
        <v>204</v>
      </c>
      <c r="B622" t="s">
        <v>204</v>
      </c>
      <c r="C622" t="s">
        <v>204</v>
      </c>
      <c r="D622" t="s">
        <v>1297</v>
      </c>
      <c r="E622" t="s">
        <v>1298</v>
      </c>
      <c r="F622" t="s">
        <v>2079</v>
      </c>
    </row>
    <row r="623" spans="1:6" x14ac:dyDescent="0.25">
      <c r="A623" t="s">
        <v>204</v>
      </c>
      <c r="B623" t="s">
        <v>204</v>
      </c>
      <c r="C623" t="s">
        <v>204</v>
      </c>
      <c r="D623" t="s">
        <v>1299</v>
      </c>
      <c r="E623" t="s">
        <v>1300</v>
      </c>
      <c r="F623" t="s">
        <v>2079</v>
      </c>
    </row>
    <row r="624" spans="1:6" x14ac:dyDescent="0.25">
      <c r="A624" t="s">
        <v>204</v>
      </c>
      <c r="B624" t="s">
        <v>204</v>
      </c>
      <c r="C624" t="s">
        <v>204</v>
      </c>
      <c r="D624" t="s">
        <v>1301</v>
      </c>
      <c r="E624" t="s">
        <v>1302</v>
      </c>
      <c r="F624" t="s">
        <v>2079</v>
      </c>
    </row>
    <row r="625" spans="1:8" x14ac:dyDescent="0.25">
      <c r="A625" t="s">
        <v>204</v>
      </c>
      <c r="B625" t="s">
        <v>204</v>
      </c>
      <c r="C625" t="s">
        <v>204</v>
      </c>
      <c r="D625" t="s">
        <v>1303</v>
      </c>
      <c r="E625" t="s">
        <v>1304</v>
      </c>
      <c r="F625" t="s">
        <v>2079</v>
      </c>
    </row>
    <row r="626" spans="1:8" x14ac:dyDescent="0.25">
      <c r="A626" t="s">
        <v>205</v>
      </c>
      <c r="B626" t="s">
        <v>3</v>
      </c>
      <c r="C626" t="s">
        <v>633</v>
      </c>
      <c r="D626" t="s">
        <v>1305</v>
      </c>
      <c r="E626" t="s">
        <v>3</v>
      </c>
      <c r="F626" t="s">
        <v>2586</v>
      </c>
      <c r="G626" t="s">
        <v>2037</v>
      </c>
      <c r="H626" t="s">
        <v>2038</v>
      </c>
    </row>
    <row r="627" spans="1:8" x14ac:dyDescent="0.25">
      <c r="A627" t="s">
        <v>205</v>
      </c>
      <c r="B627" t="s">
        <v>27</v>
      </c>
      <c r="C627" t="s">
        <v>688</v>
      </c>
      <c r="D627" t="s">
        <v>1306</v>
      </c>
      <c r="E627" t="s">
        <v>1306</v>
      </c>
      <c r="F627" t="s">
        <v>2587</v>
      </c>
      <c r="G627" t="s">
        <v>2037</v>
      </c>
      <c r="H627" t="s">
        <v>2038</v>
      </c>
    </row>
    <row r="628" spans="1:8" x14ac:dyDescent="0.25">
      <c r="A628" t="s">
        <v>206</v>
      </c>
      <c r="B628" t="s">
        <v>5</v>
      </c>
      <c r="C628" t="s">
        <v>1096</v>
      </c>
      <c r="D628" t="s">
        <v>1307</v>
      </c>
      <c r="E628" t="s">
        <v>638</v>
      </c>
      <c r="F628" t="s">
        <v>2588</v>
      </c>
      <c r="G628" t="s">
        <v>2037</v>
      </c>
      <c r="H628" t="s">
        <v>2038</v>
      </c>
    </row>
    <row r="629" spans="1:8" x14ac:dyDescent="0.25">
      <c r="A629" t="s">
        <v>206</v>
      </c>
      <c r="B629" t="s">
        <v>125</v>
      </c>
      <c r="C629" t="s">
        <v>1098</v>
      </c>
      <c r="D629" t="s">
        <v>1308</v>
      </c>
      <c r="E629" t="s">
        <v>1100</v>
      </c>
      <c r="F629" t="s">
        <v>2589</v>
      </c>
      <c r="G629" t="s">
        <v>2037</v>
      </c>
      <c r="H629" t="s">
        <v>2038</v>
      </c>
    </row>
    <row r="630" spans="1:8" x14ac:dyDescent="0.25">
      <c r="A630" t="s">
        <v>206</v>
      </c>
      <c r="B630" t="s">
        <v>207</v>
      </c>
      <c r="C630" t="s">
        <v>1101</v>
      </c>
      <c r="D630" t="s">
        <v>1309</v>
      </c>
      <c r="E630" t="s">
        <v>1103</v>
      </c>
      <c r="F630" t="s">
        <v>2590</v>
      </c>
      <c r="G630" t="s">
        <v>2037</v>
      </c>
      <c r="H630" t="s">
        <v>2038</v>
      </c>
    </row>
    <row r="631" spans="1:8" x14ac:dyDescent="0.25">
      <c r="A631" t="s">
        <v>206</v>
      </c>
      <c r="B631" t="s">
        <v>208</v>
      </c>
      <c r="C631" t="s">
        <v>1104</v>
      </c>
      <c r="D631" t="s">
        <v>1310</v>
      </c>
      <c r="E631" t="s">
        <v>208</v>
      </c>
      <c r="F631" t="s">
        <v>2591</v>
      </c>
      <c r="G631" t="s">
        <v>2037</v>
      </c>
      <c r="H631" t="s">
        <v>2038</v>
      </c>
    </row>
    <row r="632" spans="1:8" x14ac:dyDescent="0.25">
      <c r="A632" t="s">
        <v>206</v>
      </c>
      <c r="B632" t="s">
        <v>209</v>
      </c>
      <c r="C632" t="s">
        <v>1106</v>
      </c>
      <c r="D632" t="s">
        <v>1311</v>
      </c>
      <c r="E632" t="s">
        <v>209</v>
      </c>
      <c r="F632" t="s">
        <v>2592</v>
      </c>
      <c r="G632" t="s">
        <v>2037</v>
      </c>
      <c r="H632" t="s">
        <v>2038</v>
      </c>
    </row>
    <row r="633" spans="1:8" x14ac:dyDescent="0.25">
      <c r="A633" t="s">
        <v>206</v>
      </c>
      <c r="B633" t="s">
        <v>210</v>
      </c>
      <c r="C633" t="s">
        <v>1108</v>
      </c>
      <c r="D633" t="s">
        <v>1312</v>
      </c>
      <c r="E633" t="s">
        <v>210</v>
      </c>
      <c r="F633" t="s">
        <v>2593</v>
      </c>
      <c r="G633" t="s">
        <v>2037</v>
      </c>
      <c r="H633" t="s">
        <v>2038</v>
      </c>
    </row>
    <row r="634" spans="1:8" x14ac:dyDescent="0.25">
      <c r="A634" t="s">
        <v>206</v>
      </c>
      <c r="B634" t="s">
        <v>8</v>
      </c>
      <c r="C634" t="s">
        <v>1110</v>
      </c>
      <c r="D634" t="s">
        <v>1313</v>
      </c>
      <c r="E634" t="s">
        <v>8</v>
      </c>
      <c r="F634" t="s">
        <v>2594</v>
      </c>
      <c r="G634" t="s">
        <v>2037</v>
      </c>
      <c r="H634" t="s">
        <v>2038</v>
      </c>
    </row>
    <row r="635" spans="1:8" x14ac:dyDescent="0.25">
      <c r="A635" t="s">
        <v>206</v>
      </c>
      <c r="B635" t="s">
        <v>14</v>
      </c>
      <c r="C635" t="s">
        <v>1112</v>
      </c>
      <c r="D635" t="s">
        <v>1314</v>
      </c>
      <c r="E635" t="s">
        <v>663</v>
      </c>
      <c r="F635" t="s">
        <v>2595</v>
      </c>
      <c r="G635" t="s">
        <v>2037</v>
      </c>
      <c r="H635" t="s">
        <v>2038</v>
      </c>
    </row>
    <row r="636" spans="1:8" x14ac:dyDescent="0.25">
      <c r="D636" t="s">
        <v>1315</v>
      </c>
      <c r="E636" t="s">
        <v>1316</v>
      </c>
    </row>
    <row r="637" spans="1:8" x14ac:dyDescent="0.25">
      <c r="A637" t="s">
        <v>211</v>
      </c>
      <c r="B637" t="s">
        <v>16</v>
      </c>
      <c r="C637" t="s">
        <v>1116</v>
      </c>
      <c r="D637" t="s">
        <v>1317</v>
      </c>
      <c r="E637" t="s">
        <v>16</v>
      </c>
      <c r="F637" t="s">
        <v>2596</v>
      </c>
      <c r="G637" t="s">
        <v>2037</v>
      </c>
      <c r="H637" t="s">
        <v>2038</v>
      </c>
    </row>
    <row r="638" spans="1:8" x14ac:dyDescent="0.25">
      <c r="A638" t="s">
        <v>211</v>
      </c>
      <c r="B638" t="s">
        <v>17</v>
      </c>
      <c r="C638" t="s">
        <v>1118</v>
      </c>
      <c r="D638" t="s">
        <v>1318</v>
      </c>
      <c r="E638" t="s">
        <v>17</v>
      </c>
      <c r="F638" t="s">
        <v>2597</v>
      </c>
      <c r="G638" t="s">
        <v>2037</v>
      </c>
      <c r="H638" t="s">
        <v>2038</v>
      </c>
    </row>
    <row r="639" spans="1:8" x14ac:dyDescent="0.25">
      <c r="A639" t="s">
        <v>211</v>
      </c>
      <c r="B639" t="s">
        <v>212</v>
      </c>
      <c r="C639" t="s">
        <v>673</v>
      </c>
      <c r="D639" t="s">
        <v>1319</v>
      </c>
      <c r="E639" t="s">
        <v>212</v>
      </c>
      <c r="F639" t="s">
        <v>2598</v>
      </c>
      <c r="G639" t="s">
        <v>2037</v>
      </c>
      <c r="H639" t="s">
        <v>2038</v>
      </c>
    </row>
    <row r="640" spans="1:8" x14ac:dyDescent="0.25">
      <c r="A640" t="s">
        <v>211</v>
      </c>
      <c r="B640" t="s">
        <v>213</v>
      </c>
      <c r="C640" t="s">
        <v>675</v>
      </c>
      <c r="D640" t="s">
        <v>1320</v>
      </c>
      <c r="E640" t="s">
        <v>213</v>
      </c>
      <c r="F640" t="s">
        <v>2599</v>
      </c>
      <c r="G640" t="s">
        <v>2037</v>
      </c>
      <c r="H640" t="s">
        <v>2038</v>
      </c>
    </row>
    <row r="641" spans="1:8" x14ac:dyDescent="0.25">
      <c r="A641" t="s">
        <v>211</v>
      </c>
      <c r="B641" t="s">
        <v>214</v>
      </c>
      <c r="C641" t="s">
        <v>677</v>
      </c>
      <c r="D641" t="s">
        <v>1321</v>
      </c>
      <c r="E641" t="s">
        <v>214</v>
      </c>
      <c r="F641" t="s">
        <v>2600</v>
      </c>
      <c r="G641" t="s">
        <v>2037</v>
      </c>
      <c r="H641" t="s">
        <v>2038</v>
      </c>
    </row>
    <row r="642" spans="1:8" x14ac:dyDescent="0.25">
      <c r="A642" t="s">
        <v>211</v>
      </c>
      <c r="B642" t="s">
        <v>215</v>
      </c>
      <c r="C642" t="s">
        <v>679</v>
      </c>
      <c r="D642" t="s">
        <v>1322</v>
      </c>
      <c r="E642" t="s">
        <v>215</v>
      </c>
      <c r="F642" t="s">
        <v>2601</v>
      </c>
      <c r="G642" t="s">
        <v>2037</v>
      </c>
      <c r="H642" t="s">
        <v>2038</v>
      </c>
    </row>
    <row r="643" spans="1:8" x14ac:dyDescent="0.25">
      <c r="A643" t="s">
        <v>211</v>
      </c>
      <c r="B643" t="s">
        <v>216</v>
      </c>
      <c r="C643" t="s">
        <v>1124</v>
      </c>
      <c r="D643" t="s">
        <v>1323</v>
      </c>
      <c r="E643" t="s">
        <v>216</v>
      </c>
      <c r="F643" t="s">
        <v>2602</v>
      </c>
      <c r="G643" t="s">
        <v>2037</v>
      </c>
      <c r="H643" t="s">
        <v>2038</v>
      </c>
    </row>
    <row r="644" spans="1:8" x14ac:dyDescent="0.25">
      <c r="A644" t="s">
        <v>211</v>
      </c>
      <c r="B644" t="s">
        <v>217</v>
      </c>
      <c r="C644" t="s">
        <v>1126</v>
      </c>
      <c r="D644" t="s">
        <v>1324</v>
      </c>
      <c r="E644" t="s">
        <v>217</v>
      </c>
      <c r="F644" t="s">
        <v>2603</v>
      </c>
      <c r="G644" t="s">
        <v>2037</v>
      </c>
      <c r="H644" t="s">
        <v>2038</v>
      </c>
    </row>
    <row r="645" spans="1:8" x14ac:dyDescent="0.25">
      <c r="A645" t="s">
        <v>211</v>
      </c>
      <c r="B645" t="s">
        <v>218</v>
      </c>
      <c r="C645" t="s">
        <v>671</v>
      </c>
      <c r="D645" t="s">
        <v>1325</v>
      </c>
      <c r="E645" t="s">
        <v>218</v>
      </c>
      <c r="F645" t="s">
        <v>2604</v>
      </c>
      <c r="G645" t="s">
        <v>2037</v>
      </c>
      <c r="H645" t="s">
        <v>2038</v>
      </c>
    </row>
    <row r="646" spans="1:8" x14ac:dyDescent="0.25">
      <c r="A646" t="s">
        <v>211</v>
      </c>
      <c r="B646" t="s">
        <v>219</v>
      </c>
      <c r="C646" t="s">
        <v>1129</v>
      </c>
      <c r="D646" t="s">
        <v>1326</v>
      </c>
      <c r="E646" t="s">
        <v>219</v>
      </c>
      <c r="F646" t="s">
        <v>2605</v>
      </c>
      <c r="G646" t="s">
        <v>2037</v>
      </c>
      <c r="H646" t="s">
        <v>2038</v>
      </c>
    </row>
    <row r="647" spans="1:8" x14ac:dyDescent="0.25">
      <c r="A647" t="s">
        <v>211</v>
      </c>
      <c r="B647" t="s">
        <v>220</v>
      </c>
      <c r="C647" t="s">
        <v>1131</v>
      </c>
      <c r="D647" t="s">
        <v>1327</v>
      </c>
      <c r="E647" t="s">
        <v>220</v>
      </c>
      <c r="F647" t="s">
        <v>2606</v>
      </c>
      <c r="G647" t="s">
        <v>2037</v>
      </c>
      <c r="H647" t="s">
        <v>2038</v>
      </c>
    </row>
    <row r="648" spans="1:8" x14ac:dyDescent="0.25">
      <c r="A648" t="s">
        <v>211</v>
      </c>
      <c r="B648" t="s">
        <v>221</v>
      </c>
      <c r="C648" t="s">
        <v>1133</v>
      </c>
      <c r="D648" t="s">
        <v>1328</v>
      </c>
      <c r="E648" t="s">
        <v>221</v>
      </c>
      <c r="F648" t="s">
        <v>2607</v>
      </c>
      <c r="G648" t="s">
        <v>2037</v>
      </c>
      <c r="H648" t="s">
        <v>2038</v>
      </c>
    </row>
    <row r="649" spans="1:8" x14ac:dyDescent="0.25">
      <c r="A649" t="s">
        <v>211</v>
      </c>
      <c r="B649" t="s">
        <v>26</v>
      </c>
      <c r="C649" t="s">
        <v>1135</v>
      </c>
      <c r="D649" t="s">
        <v>1329</v>
      </c>
      <c r="E649" t="s">
        <v>687</v>
      </c>
      <c r="F649" t="s">
        <v>2608</v>
      </c>
      <c r="G649" t="s">
        <v>2037</v>
      </c>
      <c r="H649" t="s">
        <v>2038</v>
      </c>
    </row>
    <row r="650" spans="1:8" x14ac:dyDescent="0.25">
      <c r="A650" t="s">
        <v>206</v>
      </c>
      <c r="B650" t="s">
        <v>28</v>
      </c>
      <c r="C650" t="s">
        <v>690</v>
      </c>
      <c r="F650" t="s">
        <v>2609</v>
      </c>
      <c r="G650" t="s">
        <v>2037</v>
      </c>
      <c r="H650" t="s">
        <v>2038</v>
      </c>
    </row>
    <row r="651" spans="1:8" x14ac:dyDescent="0.25">
      <c r="A651" t="s">
        <v>206</v>
      </c>
      <c r="B651" t="s">
        <v>29</v>
      </c>
      <c r="C651" t="s">
        <v>693</v>
      </c>
      <c r="F651" t="s">
        <v>2610</v>
      </c>
      <c r="G651" t="s">
        <v>2037</v>
      </c>
      <c r="H651" t="s">
        <v>2038</v>
      </c>
    </row>
    <row r="652" spans="1:8" x14ac:dyDescent="0.25">
      <c r="A652" t="s">
        <v>222</v>
      </c>
      <c r="B652" t="s">
        <v>3</v>
      </c>
      <c r="C652" t="s">
        <v>633</v>
      </c>
      <c r="D652" t="s">
        <v>1330</v>
      </c>
      <c r="E652" t="s">
        <v>3</v>
      </c>
      <c r="F652" t="s">
        <v>2611</v>
      </c>
      <c r="G652" t="s">
        <v>2037</v>
      </c>
      <c r="H652" t="s">
        <v>2038</v>
      </c>
    </row>
    <row r="653" spans="1:8" x14ac:dyDescent="0.25">
      <c r="A653" t="s">
        <v>222</v>
      </c>
      <c r="B653" t="s">
        <v>27</v>
      </c>
      <c r="C653" t="s">
        <v>688</v>
      </c>
      <c r="D653" t="s">
        <v>1331</v>
      </c>
      <c r="E653" t="s">
        <v>1331</v>
      </c>
      <c r="F653" t="s">
        <v>2612</v>
      </c>
      <c r="G653" t="s">
        <v>2037</v>
      </c>
      <c r="H653" t="s">
        <v>2038</v>
      </c>
    </row>
    <row r="654" spans="1:8" x14ac:dyDescent="0.25">
      <c r="A654" t="s">
        <v>223</v>
      </c>
      <c r="B654" t="s">
        <v>5</v>
      </c>
      <c r="C654" t="s">
        <v>1096</v>
      </c>
      <c r="D654" t="s">
        <v>1332</v>
      </c>
      <c r="E654" t="s">
        <v>638</v>
      </c>
      <c r="F654" t="s">
        <v>2613</v>
      </c>
      <c r="G654" t="s">
        <v>2037</v>
      </c>
      <c r="H654" t="s">
        <v>2038</v>
      </c>
    </row>
    <row r="655" spans="1:8" x14ac:dyDescent="0.25">
      <c r="A655" t="s">
        <v>223</v>
      </c>
      <c r="B655" t="s">
        <v>125</v>
      </c>
      <c r="C655" t="s">
        <v>1098</v>
      </c>
      <c r="D655" t="s">
        <v>1333</v>
      </c>
      <c r="E655" t="s">
        <v>1100</v>
      </c>
      <c r="F655" t="s">
        <v>2614</v>
      </c>
      <c r="G655" t="s">
        <v>2037</v>
      </c>
      <c r="H655" t="s">
        <v>2038</v>
      </c>
    </row>
    <row r="656" spans="1:8" x14ac:dyDescent="0.25">
      <c r="A656" t="s">
        <v>223</v>
      </c>
      <c r="B656" t="s">
        <v>224</v>
      </c>
      <c r="C656" t="s">
        <v>1101</v>
      </c>
      <c r="D656" t="s">
        <v>1334</v>
      </c>
      <c r="E656" t="s">
        <v>1103</v>
      </c>
      <c r="F656" t="s">
        <v>2615</v>
      </c>
      <c r="G656" t="s">
        <v>2037</v>
      </c>
      <c r="H656" t="s">
        <v>2038</v>
      </c>
    </row>
    <row r="657" spans="1:8" x14ac:dyDescent="0.25">
      <c r="A657" t="s">
        <v>223</v>
      </c>
      <c r="B657" t="s">
        <v>225</v>
      </c>
      <c r="C657" t="s">
        <v>1104</v>
      </c>
      <c r="D657" t="s">
        <v>1335</v>
      </c>
      <c r="E657" t="s">
        <v>225</v>
      </c>
      <c r="F657" t="s">
        <v>2616</v>
      </c>
      <c r="G657" t="s">
        <v>2037</v>
      </c>
      <c r="H657" t="s">
        <v>2038</v>
      </c>
    </row>
    <row r="658" spans="1:8" x14ac:dyDescent="0.25">
      <c r="A658" t="s">
        <v>223</v>
      </c>
      <c r="B658" t="s">
        <v>226</v>
      </c>
      <c r="C658" t="s">
        <v>1106</v>
      </c>
      <c r="D658" t="s">
        <v>1336</v>
      </c>
      <c r="E658" t="s">
        <v>226</v>
      </c>
      <c r="F658" t="s">
        <v>2617</v>
      </c>
      <c r="G658" t="s">
        <v>2037</v>
      </c>
      <c r="H658" t="s">
        <v>2038</v>
      </c>
    </row>
    <row r="659" spans="1:8" x14ac:dyDescent="0.25">
      <c r="A659" t="s">
        <v>223</v>
      </c>
      <c r="B659" t="s">
        <v>227</v>
      </c>
      <c r="C659" t="s">
        <v>1108</v>
      </c>
      <c r="D659" t="s">
        <v>1337</v>
      </c>
      <c r="E659" t="s">
        <v>227</v>
      </c>
      <c r="F659" t="s">
        <v>2618</v>
      </c>
      <c r="G659" t="s">
        <v>2037</v>
      </c>
      <c r="H659" t="s">
        <v>2038</v>
      </c>
    </row>
    <row r="660" spans="1:8" x14ac:dyDescent="0.25">
      <c r="A660" t="s">
        <v>223</v>
      </c>
      <c r="B660" t="s">
        <v>8</v>
      </c>
      <c r="C660" t="s">
        <v>1110</v>
      </c>
      <c r="D660" t="s">
        <v>1338</v>
      </c>
      <c r="E660" t="s">
        <v>8</v>
      </c>
      <c r="F660" t="s">
        <v>2619</v>
      </c>
      <c r="G660" t="s">
        <v>2037</v>
      </c>
      <c r="H660" t="s">
        <v>2038</v>
      </c>
    </row>
    <row r="661" spans="1:8" x14ac:dyDescent="0.25">
      <c r="A661" t="s">
        <v>223</v>
      </c>
      <c r="B661" t="s">
        <v>14</v>
      </c>
      <c r="C661" t="s">
        <v>1112</v>
      </c>
      <c r="D661" t="s">
        <v>1339</v>
      </c>
      <c r="E661" t="s">
        <v>663</v>
      </c>
      <c r="F661" t="s">
        <v>2620</v>
      </c>
      <c r="G661" t="s">
        <v>2037</v>
      </c>
      <c r="H661" t="s">
        <v>2038</v>
      </c>
    </row>
    <row r="662" spans="1:8" x14ac:dyDescent="0.25">
      <c r="D662" t="s">
        <v>1340</v>
      </c>
      <c r="E662" t="s">
        <v>1341</v>
      </c>
      <c r="F662" t="s">
        <v>2079</v>
      </c>
    </row>
    <row r="663" spans="1:8" x14ac:dyDescent="0.25">
      <c r="A663" t="s">
        <v>228</v>
      </c>
      <c r="B663" t="s">
        <v>16</v>
      </c>
      <c r="C663" t="s">
        <v>1116</v>
      </c>
      <c r="D663" t="s">
        <v>1342</v>
      </c>
      <c r="E663" t="s">
        <v>16</v>
      </c>
      <c r="F663" t="s">
        <v>2621</v>
      </c>
      <c r="G663" t="s">
        <v>2037</v>
      </c>
      <c r="H663" t="s">
        <v>2038</v>
      </c>
    </row>
    <row r="664" spans="1:8" x14ac:dyDescent="0.25">
      <c r="A664" t="s">
        <v>228</v>
      </c>
      <c r="B664" t="s">
        <v>17</v>
      </c>
      <c r="C664" t="s">
        <v>1118</v>
      </c>
      <c r="D664" t="s">
        <v>1343</v>
      </c>
      <c r="E664" t="s">
        <v>17</v>
      </c>
      <c r="F664" t="s">
        <v>2622</v>
      </c>
      <c r="G664" t="s">
        <v>2037</v>
      </c>
      <c r="H664" t="s">
        <v>2038</v>
      </c>
    </row>
    <row r="665" spans="1:8" x14ac:dyDescent="0.25">
      <c r="A665" t="s">
        <v>228</v>
      </c>
      <c r="B665" t="s">
        <v>229</v>
      </c>
      <c r="C665" t="s">
        <v>673</v>
      </c>
      <c r="D665" t="s">
        <v>1344</v>
      </c>
      <c r="E665" t="s">
        <v>229</v>
      </c>
      <c r="F665" t="s">
        <v>2623</v>
      </c>
      <c r="G665" t="s">
        <v>2037</v>
      </c>
      <c r="H665" t="s">
        <v>2038</v>
      </c>
    </row>
    <row r="666" spans="1:8" x14ac:dyDescent="0.25">
      <c r="A666" t="s">
        <v>228</v>
      </c>
      <c r="B666" t="s">
        <v>230</v>
      </c>
      <c r="C666" t="s">
        <v>675</v>
      </c>
      <c r="D666" t="s">
        <v>1345</v>
      </c>
      <c r="E666" t="s">
        <v>230</v>
      </c>
      <c r="F666" t="s">
        <v>2624</v>
      </c>
      <c r="G666" t="s">
        <v>2037</v>
      </c>
      <c r="H666" t="s">
        <v>2038</v>
      </c>
    </row>
    <row r="667" spans="1:8" x14ac:dyDescent="0.25">
      <c r="A667" t="s">
        <v>228</v>
      </c>
      <c r="B667" t="s">
        <v>231</v>
      </c>
      <c r="C667" t="s">
        <v>677</v>
      </c>
      <c r="D667" t="s">
        <v>1346</v>
      </c>
      <c r="E667" t="s">
        <v>231</v>
      </c>
      <c r="F667" t="s">
        <v>2625</v>
      </c>
      <c r="G667" t="s">
        <v>2037</v>
      </c>
      <c r="H667" t="s">
        <v>2038</v>
      </c>
    </row>
    <row r="668" spans="1:8" x14ac:dyDescent="0.25">
      <c r="A668" t="s">
        <v>228</v>
      </c>
      <c r="B668" t="s">
        <v>232</v>
      </c>
      <c r="C668" t="s">
        <v>679</v>
      </c>
      <c r="D668" t="s">
        <v>1347</v>
      </c>
      <c r="E668" t="s">
        <v>232</v>
      </c>
      <c r="F668" t="s">
        <v>2626</v>
      </c>
      <c r="G668" t="s">
        <v>2037</v>
      </c>
      <c r="H668" t="s">
        <v>2038</v>
      </c>
    </row>
    <row r="669" spans="1:8" x14ac:dyDescent="0.25">
      <c r="A669" t="s">
        <v>228</v>
      </c>
      <c r="B669" t="s">
        <v>233</v>
      </c>
      <c r="C669" t="s">
        <v>1124</v>
      </c>
      <c r="D669" t="s">
        <v>1348</v>
      </c>
      <c r="E669" t="s">
        <v>233</v>
      </c>
      <c r="F669" t="s">
        <v>2627</v>
      </c>
      <c r="G669" t="s">
        <v>2037</v>
      </c>
      <c r="H669" t="s">
        <v>2038</v>
      </c>
    </row>
    <row r="670" spans="1:8" x14ac:dyDescent="0.25">
      <c r="A670" t="s">
        <v>228</v>
      </c>
      <c r="B670" t="s">
        <v>234</v>
      </c>
      <c r="C670" t="s">
        <v>1126</v>
      </c>
      <c r="D670" t="s">
        <v>1349</v>
      </c>
      <c r="E670" t="s">
        <v>234</v>
      </c>
      <c r="F670" t="s">
        <v>2628</v>
      </c>
      <c r="G670" t="s">
        <v>2037</v>
      </c>
      <c r="H670" t="s">
        <v>2038</v>
      </c>
    </row>
    <row r="671" spans="1:8" x14ac:dyDescent="0.25">
      <c r="A671" t="s">
        <v>228</v>
      </c>
      <c r="B671" t="s">
        <v>235</v>
      </c>
      <c r="C671" t="s">
        <v>671</v>
      </c>
      <c r="D671" t="s">
        <v>1350</v>
      </c>
      <c r="E671" t="s">
        <v>235</v>
      </c>
      <c r="F671" t="s">
        <v>2629</v>
      </c>
      <c r="G671" t="s">
        <v>2037</v>
      </c>
      <c r="H671" t="s">
        <v>2038</v>
      </c>
    </row>
    <row r="672" spans="1:8" x14ac:dyDescent="0.25">
      <c r="A672" t="s">
        <v>228</v>
      </c>
      <c r="B672" t="s">
        <v>236</v>
      </c>
      <c r="C672" t="s">
        <v>1129</v>
      </c>
      <c r="D672" t="s">
        <v>1351</v>
      </c>
      <c r="E672" t="s">
        <v>236</v>
      </c>
      <c r="F672" t="s">
        <v>2630</v>
      </c>
      <c r="G672" t="s">
        <v>2037</v>
      </c>
      <c r="H672" t="s">
        <v>2038</v>
      </c>
    </row>
    <row r="673" spans="1:8" x14ac:dyDescent="0.25">
      <c r="A673" t="s">
        <v>228</v>
      </c>
      <c r="B673" t="s">
        <v>237</v>
      </c>
      <c r="C673" t="s">
        <v>1131</v>
      </c>
      <c r="D673" t="s">
        <v>1352</v>
      </c>
      <c r="E673" t="s">
        <v>237</v>
      </c>
      <c r="F673" t="s">
        <v>2631</v>
      </c>
      <c r="G673" t="s">
        <v>2037</v>
      </c>
      <c r="H673" t="s">
        <v>2038</v>
      </c>
    </row>
    <row r="674" spans="1:8" x14ac:dyDescent="0.25">
      <c r="A674" t="s">
        <v>228</v>
      </c>
      <c r="B674" t="s">
        <v>238</v>
      </c>
      <c r="C674" t="s">
        <v>1133</v>
      </c>
      <c r="D674" t="s">
        <v>1353</v>
      </c>
      <c r="E674" t="s">
        <v>238</v>
      </c>
      <c r="F674" t="s">
        <v>2632</v>
      </c>
      <c r="G674" t="s">
        <v>2037</v>
      </c>
      <c r="H674" t="s">
        <v>2038</v>
      </c>
    </row>
    <row r="675" spans="1:8" x14ac:dyDescent="0.25">
      <c r="A675" t="s">
        <v>228</v>
      </c>
      <c r="B675" t="s">
        <v>26</v>
      </c>
      <c r="C675" t="s">
        <v>1135</v>
      </c>
      <c r="D675" t="s">
        <v>1354</v>
      </c>
      <c r="E675" t="s">
        <v>687</v>
      </c>
      <c r="F675" t="s">
        <v>2633</v>
      </c>
      <c r="G675" t="s">
        <v>2037</v>
      </c>
      <c r="H675" t="s">
        <v>2038</v>
      </c>
    </row>
    <row r="676" spans="1:8" x14ac:dyDescent="0.25">
      <c r="A676" t="s">
        <v>223</v>
      </c>
      <c r="B676" t="s">
        <v>28</v>
      </c>
      <c r="C676" t="s">
        <v>690</v>
      </c>
      <c r="F676" t="s">
        <v>2634</v>
      </c>
      <c r="G676" t="s">
        <v>2037</v>
      </c>
      <c r="H676" t="s">
        <v>2038</v>
      </c>
    </row>
    <row r="677" spans="1:8" x14ac:dyDescent="0.25">
      <c r="A677" t="s">
        <v>223</v>
      </c>
      <c r="B677" t="s">
        <v>29</v>
      </c>
      <c r="C677" t="s">
        <v>693</v>
      </c>
      <c r="F677" t="s">
        <v>2635</v>
      </c>
      <c r="G677" t="s">
        <v>2037</v>
      </c>
      <c r="H677" t="s">
        <v>2038</v>
      </c>
    </row>
    <row r="678" spans="1:8" x14ac:dyDescent="0.25">
      <c r="A678" t="s">
        <v>239</v>
      </c>
      <c r="B678" t="s">
        <v>3</v>
      </c>
      <c r="C678" t="s">
        <v>633</v>
      </c>
      <c r="D678" t="s">
        <v>1355</v>
      </c>
      <c r="E678" t="s">
        <v>3</v>
      </c>
      <c r="F678" t="s">
        <v>2636</v>
      </c>
      <c r="G678" t="s">
        <v>2037</v>
      </c>
      <c r="H678" t="s">
        <v>2038</v>
      </c>
    </row>
    <row r="679" spans="1:8" x14ac:dyDescent="0.25">
      <c r="A679" t="s">
        <v>239</v>
      </c>
      <c r="B679" t="s">
        <v>27</v>
      </c>
      <c r="C679" t="s">
        <v>688</v>
      </c>
      <c r="D679" t="s">
        <v>1356</v>
      </c>
      <c r="E679" t="s">
        <v>1356</v>
      </c>
      <c r="F679" t="s">
        <v>2637</v>
      </c>
      <c r="G679" t="s">
        <v>2037</v>
      </c>
      <c r="H679" t="s">
        <v>2038</v>
      </c>
    </row>
    <row r="680" spans="1:8" x14ac:dyDescent="0.25">
      <c r="A680" t="s">
        <v>240</v>
      </c>
      <c r="B680" t="s">
        <v>5</v>
      </c>
      <c r="C680" t="s">
        <v>1096</v>
      </c>
      <c r="D680" t="s">
        <v>1357</v>
      </c>
      <c r="E680" t="s">
        <v>638</v>
      </c>
      <c r="F680" t="s">
        <v>2638</v>
      </c>
      <c r="G680" t="s">
        <v>2037</v>
      </c>
      <c r="H680" t="s">
        <v>2038</v>
      </c>
    </row>
    <row r="681" spans="1:8" x14ac:dyDescent="0.25">
      <c r="A681" t="s">
        <v>240</v>
      </c>
      <c r="B681" t="s">
        <v>125</v>
      </c>
      <c r="C681" t="s">
        <v>1098</v>
      </c>
      <c r="D681" t="s">
        <v>1358</v>
      </c>
      <c r="E681" t="s">
        <v>1100</v>
      </c>
      <c r="F681" t="s">
        <v>2639</v>
      </c>
      <c r="G681" t="s">
        <v>2037</v>
      </c>
      <c r="H681" t="s">
        <v>2038</v>
      </c>
    </row>
    <row r="682" spans="1:8" x14ac:dyDescent="0.25">
      <c r="A682" t="s">
        <v>240</v>
      </c>
      <c r="B682" t="s">
        <v>241</v>
      </c>
      <c r="C682" t="s">
        <v>1101</v>
      </c>
      <c r="D682" t="s">
        <v>1359</v>
      </c>
      <c r="E682" t="s">
        <v>1103</v>
      </c>
      <c r="F682" t="s">
        <v>2640</v>
      </c>
      <c r="G682" t="s">
        <v>2037</v>
      </c>
      <c r="H682" t="s">
        <v>2038</v>
      </c>
    </row>
    <row r="683" spans="1:8" x14ac:dyDescent="0.25">
      <c r="A683" t="s">
        <v>240</v>
      </c>
      <c r="B683" t="s">
        <v>242</v>
      </c>
      <c r="C683" t="s">
        <v>1104</v>
      </c>
      <c r="D683" t="s">
        <v>1360</v>
      </c>
      <c r="E683" t="s">
        <v>242</v>
      </c>
      <c r="F683" t="s">
        <v>2641</v>
      </c>
      <c r="G683" t="s">
        <v>2037</v>
      </c>
      <c r="H683" t="s">
        <v>2038</v>
      </c>
    </row>
    <row r="684" spans="1:8" x14ac:dyDescent="0.25">
      <c r="A684" t="s">
        <v>240</v>
      </c>
      <c r="B684" t="s">
        <v>243</v>
      </c>
      <c r="C684" t="s">
        <v>1106</v>
      </c>
      <c r="D684" t="s">
        <v>1361</v>
      </c>
      <c r="E684" t="s">
        <v>243</v>
      </c>
      <c r="F684" t="s">
        <v>2642</v>
      </c>
      <c r="G684" t="s">
        <v>2037</v>
      </c>
      <c r="H684" t="s">
        <v>2038</v>
      </c>
    </row>
    <row r="685" spans="1:8" x14ac:dyDescent="0.25">
      <c r="A685" t="s">
        <v>240</v>
      </c>
      <c r="B685" t="s">
        <v>244</v>
      </c>
      <c r="C685" t="s">
        <v>1108</v>
      </c>
      <c r="D685" t="s">
        <v>1362</v>
      </c>
      <c r="E685" t="s">
        <v>244</v>
      </c>
      <c r="F685" t="s">
        <v>2643</v>
      </c>
      <c r="G685" t="s">
        <v>2037</v>
      </c>
      <c r="H685" t="s">
        <v>2038</v>
      </c>
    </row>
    <row r="686" spans="1:8" x14ac:dyDescent="0.25">
      <c r="A686" t="s">
        <v>240</v>
      </c>
      <c r="B686" t="s">
        <v>8</v>
      </c>
      <c r="C686" t="s">
        <v>1110</v>
      </c>
      <c r="D686" t="s">
        <v>1363</v>
      </c>
      <c r="E686" t="s">
        <v>8</v>
      </c>
      <c r="F686" t="s">
        <v>2644</v>
      </c>
      <c r="G686" t="s">
        <v>2037</v>
      </c>
      <c r="H686" t="s">
        <v>2038</v>
      </c>
    </row>
    <row r="687" spans="1:8" x14ac:dyDescent="0.25">
      <c r="A687" t="s">
        <v>240</v>
      </c>
      <c r="B687" t="s">
        <v>14</v>
      </c>
      <c r="C687" t="s">
        <v>1112</v>
      </c>
      <c r="D687" t="s">
        <v>1364</v>
      </c>
      <c r="E687" t="s">
        <v>663</v>
      </c>
      <c r="F687" t="s">
        <v>2645</v>
      </c>
      <c r="G687" t="s">
        <v>2037</v>
      </c>
      <c r="H687" t="s">
        <v>2038</v>
      </c>
    </row>
    <row r="688" spans="1:8" x14ac:dyDescent="0.25">
      <c r="D688" t="s">
        <v>1365</v>
      </c>
      <c r="E688" t="s">
        <v>1366</v>
      </c>
      <c r="F688" t="s">
        <v>2079</v>
      </c>
    </row>
    <row r="689" spans="1:8" x14ac:dyDescent="0.25">
      <c r="A689" t="s">
        <v>245</v>
      </c>
      <c r="B689" t="s">
        <v>16</v>
      </c>
      <c r="C689" t="s">
        <v>1116</v>
      </c>
      <c r="D689" t="s">
        <v>1367</v>
      </c>
      <c r="E689" t="s">
        <v>16</v>
      </c>
      <c r="F689" t="s">
        <v>2646</v>
      </c>
      <c r="G689" t="s">
        <v>2037</v>
      </c>
      <c r="H689" t="s">
        <v>2038</v>
      </c>
    </row>
    <row r="690" spans="1:8" x14ac:dyDescent="0.25">
      <c r="A690" t="s">
        <v>245</v>
      </c>
      <c r="B690" t="s">
        <v>17</v>
      </c>
      <c r="C690" t="s">
        <v>1118</v>
      </c>
      <c r="D690" t="s">
        <v>1368</v>
      </c>
      <c r="E690" t="s">
        <v>17</v>
      </c>
      <c r="F690" t="s">
        <v>2647</v>
      </c>
      <c r="G690" t="s">
        <v>2037</v>
      </c>
      <c r="H690" t="s">
        <v>2038</v>
      </c>
    </row>
    <row r="691" spans="1:8" x14ac:dyDescent="0.25">
      <c r="A691" t="s">
        <v>245</v>
      </c>
      <c r="B691" t="s">
        <v>246</v>
      </c>
      <c r="C691" t="s">
        <v>673</v>
      </c>
      <c r="D691" t="s">
        <v>1369</v>
      </c>
      <c r="E691" t="s">
        <v>246</v>
      </c>
      <c r="F691" t="s">
        <v>2648</v>
      </c>
      <c r="G691" t="s">
        <v>2037</v>
      </c>
      <c r="H691" t="s">
        <v>2038</v>
      </c>
    </row>
    <row r="692" spans="1:8" x14ac:dyDescent="0.25">
      <c r="A692" t="s">
        <v>245</v>
      </c>
      <c r="B692" t="s">
        <v>247</v>
      </c>
      <c r="C692" t="s">
        <v>675</v>
      </c>
      <c r="D692" t="s">
        <v>1370</v>
      </c>
      <c r="E692" t="s">
        <v>247</v>
      </c>
      <c r="F692" t="s">
        <v>2649</v>
      </c>
      <c r="G692" t="s">
        <v>2037</v>
      </c>
      <c r="H692" t="s">
        <v>2038</v>
      </c>
    </row>
    <row r="693" spans="1:8" x14ac:dyDescent="0.25">
      <c r="A693" t="s">
        <v>245</v>
      </c>
      <c r="B693" t="s">
        <v>248</v>
      </c>
      <c r="C693" t="s">
        <v>677</v>
      </c>
      <c r="D693" t="s">
        <v>1371</v>
      </c>
      <c r="E693" t="s">
        <v>248</v>
      </c>
      <c r="F693" t="s">
        <v>2650</v>
      </c>
      <c r="G693" t="s">
        <v>2037</v>
      </c>
      <c r="H693" t="s">
        <v>2038</v>
      </c>
    </row>
    <row r="694" spans="1:8" x14ac:dyDescent="0.25">
      <c r="A694" t="s">
        <v>245</v>
      </c>
      <c r="B694" t="s">
        <v>249</v>
      </c>
      <c r="C694" t="s">
        <v>679</v>
      </c>
      <c r="D694" t="s">
        <v>1372</v>
      </c>
      <c r="E694" t="s">
        <v>249</v>
      </c>
      <c r="F694" t="s">
        <v>2651</v>
      </c>
      <c r="G694" t="s">
        <v>2037</v>
      </c>
      <c r="H694" t="s">
        <v>2038</v>
      </c>
    </row>
    <row r="695" spans="1:8" x14ac:dyDescent="0.25">
      <c r="A695" t="s">
        <v>245</v>
      </c>
      <c r="B695" t="s">
        <v>250</v>
      </c>
      <c r="C695" t="s">
        <v>1124</v>
      </c>
      <c r="D695" t="s">
        <v>1373</v>
      </c>
      <c r="E695" t="s">
        <v>250</v>
      </c>
      <c r="F695" t="s">
        <v>2652</v>
      </c>
      <c r="G695" t="s">
        <v>2037</v>
      </c>
      <c r="H695" t="s">
        <v>2038</v>
      </c>
    </row>
    <row r="696" spans="1:8" x14ac:dyDescent="0.25">
      <c r="A696" t="s">
        <v>245</v>
      </c>
      <c r="B696" t="s">
        <v>251</v>
      </c>
      <c r="C696" t="s">
        <v>1126</v>
      </c>
      <c r="D696" t="s">
        <v>1374</v>
      </c>
      <c r="E696" t="s">
        <v>251</v>
      </c>
      <c r="F696" t="s">
        <v>2653</v>
      </c>
      <c r="G696" t="s">
        <v>2037</v>
      </c>
      <c r="H696" t="s">
        <v>2038</v>
      </c>
    </row>
    <row r="697" spans="1:8" x14ac:dyDescent="0.25">
      <c r="A697" t="s">
        <v>245</v>
      </c>
      <c r="B697" t="s">
        <v>252</v>
      </c>
      <c r="C697" t="s">
        <v>671</v>
      </c>
      <c r="D697" t="s">
        <v>1375</v>
      </c>
      <c r="E697" t="s">
        <v>252</v>
      </c>
      <c r="F697" t="s">
        <v>2654</v>
      </c>
      <c r="G697" t="s">
        <v>2037</v>
      </c>
      <c r="H697" t="s">
        <v>2038</v>
      </c>
    </row>
    <row r="698" spans="1:8" x14ac:dyDescent="0.25">
      <c r="A698" t="s">
        <v>245</v>
      </c>
      <c r="B698" t="s">
        <v>253</v>
      </c>
      <c r="C698" t="s">
        <v>1129</v>
      </c>
      <c r="D698" t="s">
        <v>1376</v>
      </c>
      <c r="E698" t="s">
        <v>253</v>
      </c>
      <c r="F698" t="s">
        <v>2655</v>
      </c>
      <c r="G698" t="s">
        <v>2037</v>
      </c>
      <c r="H698" t="s">
        <v>2038</v>
      </c>
    </row>
    <row r="699" spans="1:8" x14ac:dyDescent="0.25">
      <c r="A699" t="s">
        <v>245</v>
      </c>
      <c r="B699" t="s">
        <v>254</v>
      </c>
      <c r="C699" t="s">
        <v>1131</v>
      </c>
      <c r="D699" t="s">
        <v>1377</v>
      </c>
      <c r="E699" t="s">
        <v>254</v>
      </c>
      <c r="F699" t="s">
        <v>2656</v>
      </c>
      <c r="G699" t="s">
        <v>2037</v>
      </c>
      <c r="H699" t="s">
        <v>2038</v>
      </c>
    </row>
    <row r="700" spans="1:8" x14ac:dyDescent="0.25">
      <c r="A700" t="s">
        <v>245</v>
      </c>
      <c r="B700" t="s">
        <v>255</v>
      </c>
      <c r="C700" t="s">
        <v>1133</v>
      </c>
      <c r="D700" t="s">
        <v>1378</v>
      </c>
      <c r="E700" t="s">
        <v>255</v>
      </c>
      <c r="F700" t="s">
        <v>2657</v>
      </c>
      <c r="G700" t="s">
        <v>2037</v>
      </c>
      <c r="H700" t="s">
        <v>2038</v>
      </c>
    </row>
    <row r="701" spans="1:8" x14ac:dyDescent="0.25">
      <c r="A701" t="s">
        <v>245</v>
      </c>
      <c r="B701" t="s">
        <v>26</v>
      </c>
      <c r="C701" t="s">
        <v>1135</v>
      </c>
      <c r="D701" t="s">
        <v>1379</v>
      </c>
      <c r="E701" t="s">
        <v>687</v>
      </c>
      <c r="F701" t="s">
        <v>2658</v>
      </c>
      <c r="G701" t="s">
        <v>2037</v>
      </c>
      <c r="H701" t="s">
        <v>2038</v>
      </c>
    </row>
    <row r="702" spans="1:8" x14ac:dyDescent="0.25">
      <c r="A702" t="s">
        <v>240</v>
      </c>
      <c r="B702" t="s">
        <v>28</v>
      </c>
      <c r="C702" t="s">
        <v>690</v>
      </c>
      <c r="F702" t="s">
        <v>2659</v>
      </c>
      <c r="G702" t="s">
        <v>2037</v>
      </c>
      <c r="H702" t="s">
        <v>2038</v>
      </c>
    </row>
    <row r="703" spans="1:8" x14ac:dyDescent="0.25">
      <c r="A703" t="s">
        <v>240</v>
      </c>
      <c r="B703" t="s">
        <v>29</v>
      </c>
      <c r="C703" t="s">
        <v>693</v>
      </c>
      <c r="F703" t="s">
        <v>2660</v>
      </c>
      <c r="G703" t="s">
        <v>2037</v>
      </c>
      <c r="H703" t="s">
        <v>2038</v>
      </c>
    </row>
    <row r="704" spans="1:8" x14ac:dyDescent="0.25">
      <c r="A704" t="s">
        <v>256</v>
      </c>
      <c r="B704" t="s">
        <v>3</v>
      </c>
      <c r="C704" t="s">
        <v>633</v>
      </c>
      <c r="D704" t="s">
        <v>1380</v>
      </c>
      <c r="E704" t="s">
        <v>3</v>
      </c>
      <c r="F704" t="s">
        <v>2661</v>
      </c>
      <c r="G704" t="s">
        <v>2037</v>
      </c>
      <c r="H704" t="s">
        <v>2038</v>
      </c>
    </row>
    <row r="705" spans="1:8" x14ac:dyDescent="0.25">
      <c r="A705" t="s">
        <v>256</v>
      </c>
      <c r="B705" t="s">
        <v>27</v>
      </c>
      <c r="C705" t="s">
        <v>688</v>
      </c>
      <c r="D705" t="s">
        <v>1381</v>
      </c>
      <c r="E705" t="s">
        <v>1381</v>
      </c>
      <c r="F705" t="s">
        <v>2662</v>
      </c>
      <c r="G705" t="s">
        <v>2037</v>
      </c>
      <c r="H705" t="s">
        <v>2038</v>
      </c>
    </row>
    <row r="706" spans="1:8" x14ac:dyDescent="0.25">
      <c r="A706" t="s">
        <v>257</v>
      </c>
      <c r="B706" t="s">
        <v>5</v>
      </c>
      <c r="C706" t="s">
        <v>1096</v>
      </c>
      <c r="D706" t="s">
        <v>1382</v>
      </c>
      <c r="E706" t="s">
        <v>638</v>
      </c>
      <c r="F706" t="s">
        <v>2663</v>
      </c>
      <c r="G706" t="s">
        <v>2037</v>
      </c>
      <c r="H706" t="s">
        <v>2038</v>
      </c>
    </row>
    <row r="707" spans="1:8" x14ac:dyDescent="0.25">
      <c r="A707" t="s">
        <v>257</v>
      </c>
      <c r="B707" t="s">
        <v>125</v>
      </c>
      <c r="C707" t="s">
        <v>1098</v>
      </c>
      <c r="D707" t="s">
        <v>1383</v>
      </c>
      <c r="E707" t="s">
        <v>1100</v>
      </c>
      <c r="F707" t="s">
        <v>2664</v>
      </c>
      <c r="G707" t="s">
        <v>2037</v>
      </c>
      <c r="H707" t="s">
        <v>2038</v>
      </c>
    </row>
    <row r="708" spans="1:8" x14ac:dyDescent="0.25">
      <c r="A708" t="s">
        <v>257</v>
      </c>
      <c r="B708" t="s">
        <v>258</v>
      </c>
      <c r="C708" t="s">
        <v>1101</v>
      </c>
      <c r="D708" t="s">
        <v>1384</v>
      </c>
      <c r="E708" t="s">
        <v>1103</v>
      </c>
      <c r="F708" t="s">
        <v>2665</v>
      </c>
      <c r="G708" t="s">
        <v>2037</v>
      </c>
      <c r="H708" t="s">
        <v>2038</v>
      </c>
    </row>
    <row r="709" spans="1:8" x14ac:dyDescent="0.25">
      <c r="A709" t="s">
        <v>257</v>
      </c>
      <c r="B709" t="s">
        <v>259</v>
      </c>
      <c r="C709" t="s">
        <v>1104</v>
      </c>
      <c r="D709" t="s">
        <v>1385</v>
      </c>
      <c r="E709" t="s">
        <v>259</v>
      </c>
      <c r="F709" t="s">
        <v>2666</v>
      </c>
      <c r="G709" t="s">
        <v>2037</v>
      </c>
      <c r="H709" t="s">
        <v>2038</v>
      </c>
    </row>
    <row r="710" spans="1:8" x14ac:dyDescent="0.25">
      <c r="A710" t="s">
        <v>257</v>
      </c>
      <c r="B710" t="s">
        <v>260</v>
      </c>
      <c r="C710" t="s">
        <v>1106</v>
      </c>
      <c r="D710" t="s">
        <v>1386</v>
      </c>
      <c r="E710" t="s">
        <v>260</v>
      </c>
      <c r="F710" t="s">
        <v>2667</v>
      </c>
      <c r="G710" t="s">
        <v>2037</v>
      </c>
      <c r="H710" t="s">
        <v>2038</v>
      </c>
    </row>
    <row r="711" spans="1:8" x14ac:dyDescent="0.25">
      <c r="A711" t="s">
        <v>257</v>
      </c>
      <c r="B711" t="s">
        <v>261</v>
      </c>
      <c r="C711" t="s">
        <v>1108</v>
      </c>
      <c r="D711" t="s">
        <v>1387</v>
      </c>
      <c r="E711" t="s">
        <v>261</v>
      </c>
      <c r="F711" t="s">
        <v>2668</v>
      </c>
      <c r="G711" t="s">
        <v>2037</v>
      </c>
      <c r="H711" t="s">
        <v>2038</v>
      </c>
    </row>
    <row r="712" spans="1:8" x14ac:dyDescent="0.25">
      <c r="A712" t="s">
        <v>257</v>
      </c>
      <c r="B712" t="s">
        <v>8</v>
      </c>
      <c r="C712" t="s">
        <v>1110</v>
      </c>
      <c r="D712" t="s">
        <v>1388</v>
      </c>
      <c r="E712" t="s">
        <v>8</v>
      </c>
      <c r="F712" t="s">
        <v>2669</v>
      </c>
      <c r="G712" t="s">
        <v>2037</v>
      </c>
      <c r="H712" t="s">
        <v>2038</v>
      </c>
    </row>
    <row r="713" spans="1:8" x14ac:dyDescent="0.25">
      <c r="A713" t="s">
        <v>257</v>
      </c>
      <c r="B713" t="s">
        <v>14</v>
      </c>
      <c r="C713" t="s">
        <v>1112</v>
      </c>
      <c r="D713" t="s">
        <v>1389</v>
      </c>
      <c r="E713" t="s">
        <v>663</v>
      </c>
      <c r="F713" t="s">
        <v>2670</v>
      </c>
      <c r="G713" t="s">
        <v>2037</v>
      </c>
      <c r="H713" t="s">
        <v>2038</v>
      </c>
    </row>
    <row r="714" spans="1:8" x14ac:dyDescent="0.25">
      <c r="D714" t="s">
        <v>1390</v>
      </c>
      <c r="E714" t="s">
        <v>1391</v>
      </c>
      <c r="F714" t="s">
        <v>2079</v>
      </c>
    </row>
    <row r="715" spans="1:8" x14ac:dyDescent="0.25">
      <c r="A715" t="s">
        <v>262</v>
      </c>
      <c r="B715" t="s">
        <v>16</v>
      </c>
      <c r="C715" t="s">
        <v>1116</v>
      </c>
      <c r="D715" t="s">
        <v>1392</v>
      </c>
      <c r="E715" t="s">
        <v>16</v>
      </c>
      <c r="F715" t="s">
        <v>2671</v>
      </c>
      <c r="G715" t="s">
        <v>2037</v>
      </c>
      <c r="H715" t="s">
        <v>2038</v>
      </c>
    </row>
    <row r="716" spans="1:8" x14ac:dyDescent="0.25">
      <c r="A716" t="s">
        <v>262</v>
      </c>
      <c r="B716" t="s">
        <v>17</v>
      </c>
      <c r="C716" t="s">
        <v>1118</v>
      </c>
      <c r="D716" t="s">
        <v>1393</v>
      </c>
      <c r="E716" t="s">
        <v>17</v>
      </c>
      <c r="F716" t="s">
        <v>2672</v>
      </c>
      <c r="G716" t="s">
        <v>2037</v>
      </c>
      <c r="H716" t="s">
        <v>2038</v>
      </c>
    </row>
    <row r="717" spans="1:8" x14ac:dyDescent="0.25">
      <c r="A717" t="s">
        <v>262</v>
      </c>
      <c r="B717" t="s">
        <v>263</v>
      </c>
      <c r="C717" t="s">
        <v>673</v>
      </c>
      <c r="D717" t="s">
        <v>1394</v>
      </c>
      <c r="E717" t="s">
        <v>263</v>
      </c>
      <c r="F717" t="s">
        <v>2673</v>
      </c>
      <c r="G717" t="s">
        <v>2037</v>
      </c>
      <c r="H717" t="s">
        <v>2038</v>
      </c>
    </row>
    <row r="718" spans="1:8" x14ac:dyDescent="0.25">
      <c r="A718" t="s">
        <v>262</v>
      </c>
      <c r="B718" t="s">
        <v>264</v>
      </c>
      <c r="C718" t="s">
        <v>675</v>
      </c>
      <c r="D718" t="s">
        <v>1395</v>
      </c>
      <c r="E718" t="s">
        <v>264</v>
      </c>
      <c r="F718" t="s">
        <v>2674</v>
      </c>
      <c r="G718" t="s">
        <v>2037</v>
      </c>
      <c r="H718" t="s">
        <v>2038</v>
      </c>
    </row>
    <row r="719" spans="1:8" x14ac:dyDescent="0.25">
      <c r="A719" t="s">
        <v>262</v>
      </c>
      <c r="B719" t="s">
        <v>265</v>
      </c>
      <c r="C719" t="s">
        <v>677</v>
      </c>
      <c r="D719" t="s">
        <v>1396</v>
      </c>
      <c r="E719" t="s">
        <v>265</v>
      </c>
      <c r="F719" t="s">
        <v>2675</v>
      </c>
      <c r="G719" t="s">
        <v>2037</v>
      </c>
      <c r="H719" t="s">
        <v>2038</v>
      </c>
    </row>
    <row r="720" spans="1:8" x14ac:dyDescent="0.25">
      <c r="A720" t="s">
        <v>262</v>
      </c>
      <c r="B720" t="s">
        <v>266</v>
      </c>
      <c r="C720" t="s">
        <v>679</v>
      </c>
      <c r="D720" t="s">
        <v>1397</v>
      </c>
      <c r="E720" t="s">
        <v>266</v>
      </c>
      <c r="F720" t="s">
        <v>2676</v>
      </c>
      <c r="G720" t="s">
        <v>2037</v>
      </c>
      <c r="H720" t="s">
        <v>2038</v>
      </c>
    </row>
    <row r="721" spans="1:8" x14ac:dyDescent="0.25">
      <c r="A721" t="s">
        <v>262</v>
      </c>
      <c r="B721" t="s">
        <v>267</v>
      </c>
      <c r="C721" t="s">
        <v>1124</v>
      </c>
      <c r="D721" t="s">
        <v>1398</v>
      </c>
      <c r="E721" t="s">
        <v>267</v>
      </c>
      <c r="F721" t="s">
        <v>2677</v>
      </c>
      <c r="G721" t="s">
        <v>2037</v>
      </c>
      <c r="H721" t="s">
        <v>2038</v>
      </c>
    </row>
    <row r="722" spans="1:8" x14ac:dyDescent="0.25">
      <c r="A722" t="s">
        <v>262</v>
      </c>
      <c r="B722" t="s">
        <v>268</v>
      </c>
      <c r="C722" t="s">
        <v>1126</v>
      </c>
      <c r="D722" t="s">
        <v>1399</v>
      </c>
      <c r="E722" t="s">
        <v>268</v>
      </c>
      <c r="F722" t="s">
        <v>2678</v>
      </c>
      <c r="G722" t="s">
        <v>2037</v>
      </c>
      <c r="H722" t="s">
        <v>2038</v>
      </c>
    </row>
    <row r="723" spans="1:8" x14ac:dyDescent="0.25">
      <c r="A723" t="s">
        <v>262</v>
      </c>
      <c r="B723" t="s">
        <v>269</v>
      </c>
      <c r="C723" t="s">
        <v>671</v>
      </c>
      <c r="D723" t="s">
        <v>1400</v>
      </c>
      <c r="E723" t="s">
        <v>269</v>
      </c>
      <c r="F723" t="s">
        <v>2679</v>
      </c>
      <c r="G723" t="s">
        <v>2037</v>
      </c>
      <c r="H723" t="s">
        <v>2038</v>
      </c>
    </row>
    <row r="724" spans="1:8" x14ac:dyDescent="0.25">
      <c r="A724" t="s">
        <v>262</v>
      </c>
      <c r="B724" t="s">
        <v>270</v>
      </c>
      <c r="C724" t="s">
        <v>1129</v>
      </c>
      <c r="D724" t="s">
        <v>1401</v>
      </c>
      <c r="E724" t="s">
        <v>270</v>
      </c>
      <c r="F724" t="s">
        <v>2680</v>
      </c>
      <c r="G724" t="s">
        <v>2037</v>
      </c>
      <c r="H724" t="s">
        <v>2038</v>
      </c>
    </row>
    <row r="725" spans="1:8" x14ac:dyDescent="0.25">
      <c r="A725" t="s">
        <v>262</v>
      </c>
      <c r="B725" t="s">
        <v>271</v>
      </c>
      <c r="C725" t="s">
        <v>1131</v>
      </c>
      <c r="D725" t="s">
        <v>1402</v>
      </c>
      <c r="E725" t="s">
        <v>271</v>
      </c>
      <c r="F725" t="s">
        <v>2681</v>
      </c>
      <c r="G725" t="s">
        <v>2037</v>
      </c>
      <c r="H725" t="s">
        <v>2038</v>
      </c>
    </row>
    <row r="726" spans="1:8" x14ac:dyDescent="0.25">
      <c r="A726" t="s">
        <v>262</v>
      </c>
      <c r="B726" t="s">
        <v>272</v>
      </c>
      <c r="C726" t="s">
        <v>1133</v>
      </c>
      <c r="D726" t="s">
        <v>1403</v>
      </c>
      <c r="E726" t="s">
        <v>272</v>
      </c>
      <c r="F726" t="s">
        <v>2682</v>
      </c>
      <c r="G726" t="s">
        <v>2037</v>
      </c>
      <c r="H726" t="s">
        <v>2038</v>
      </c>
    </row>
    <row r="727" spans="1:8" x14ac:dyDescent="0.25">
      <c r="A727" t="s">
        <v>262</v>
      </c>
      <c r="B727" t="s">
        <v>26</v>
      </c>
      <c r="C727" t="s">
        <v>1135</v>
      </c>
      <c r="D727" t="s">
        <v>1404</v>
      </c>
      <c r="E727" t="s">
        <v>687</v>
      </c>
      <c r="F727" t="s">
        <v>2683</v>
      </c>
      <c r="G727" t="s">
        <v>2037</v>
      </c>
      <c r="H727" t="s">
        <v>2038</v>
      </c>
    </row>
    <row r="728" spans="1:8" x14ac:dyDescent="0.25">
      <c r="A728" t="s">
        <v>257</v>
      </c>
      <c r="B728" t="s">
        <v>28</v>
      </c>
      <c r="C728" t="s">
        <v>690</v>
      </c>
      <c r="F728" t="s">
        <v>2684</v>
      </c>
      <c r="G728" t="s">
        <v>2037</v>
      </c>
      <c r="H728" t="s">
        <v>2038</v>
      </c>
    </row>
    <row r="729" spans="1:8" x14ac:dyDescent="0.25">
      <c r="A729" t="s">
        <v>257</v>
      </c>
      <c r="B729" t="s">
        <v>29</v>
      </c>
      <c r="C729" t="s">
        <v>693</v>
      </c>
      <c r="F729" t="s">
        <v>2685</v>
      </c>
      <c r="G729" t="s">
        <v>2037</v>
      </c>
      <c r="H729" t="s">
        <v>2038</v>
      </c>
    </row>
    <row r="730" spans="1:8" x14ac:dyDescent="0.25">
      <c r="A730" t="s">
        <v>273</v>
      </c>
      <c r="B730" t="s">
        <v>3</v>
      </c>
      <c r="C730" t="s">
        <v>633</v>
      </c>
      <c r="D730" t="s">
        <v>1405</v>
      </c>
      <c r="E730" t="s">
        <v>3</v>
      </c>
      <c r="F730" t="s">
        <v>2686</v>
      </c>
      <c r="G730" t="s">
        <v>2037</v>
      </c>
      <c r="H730" t="s">
        <v>2038</v>
      </c>
    </row>
    <row r="731" spans="1:8" x14ac:dyDescent="0.25">
      <c r="A731" t="s">
        <v>273</v>
      </c>
      <c r="B731" t="s">
        <v>27</v>
      </c>
      <c r="C731" t="s">
        <v>688</v>
      </c>
      <c r="D731" t="s">
        <v>1406</v>
      </c>
      <c r="E731" t="s">
        <v>1406</v>
      </c>
      <c r="F731" t="s">
        <v>2687</v>
      </c>
      <c r="G731" t="s">
        <v>2037</v>
      </c>
      <c r="H731" t="s">
        <v>2038</v>
      </c>
    </row>
    <row r="732" spans="1:8" x14ac:dyDescent="0.25">
      <c r="A732" t="s">
        <v>274</v>
      </c>
      <c r="B732" t="s">
        <v>5</v>
      </c>
      <c r="C732" t="s">
        <v>1407</v>
      </c>
      <c r="D732" t="s">
        <v>1408</v>
      </c>
      <c r="E732" t="s">
        <v>638</v>
      </c>
      <c r="F732" t="s">
        <v>2688</v>
      </c>
      <c r="G732" t="s">
        <v>2037</v>
      </c>
      <c r="H732" t="s">
        <v>2038</v>
      </c>
    </row>
    <row r="733" spans="1:8" x14ac:dyDescent="0.25">
      <c r="A733" t="s">
        <v>274</v>
      </c>
      <c r="B733" t="s">
        <v>125</v>
      </c>
      <c r="C733" t="s">
        <v>1409</v>
      </c>
      <c r="D733" t="s">
        <v>1410</v>
      </c>
      <c r="E733" t="s">
        <v>1100</v>
      </c>
      <c r="F733" t="s">
        <v>2689</v>
      </c>
      <c r="G733" t="s">
        <v>2037</v>
      </c>
      <c r="H733" t="s">
        <v>2038</v>
      </c>
    </row>
    <row r="734" spans="1:8" x14ac:dyDescent="0.25">
      <c r="A734" t="s">
        <v>275</v>
      </c>
      <c r="B734" t="s">
        <v>276</v>
      </c>
      <c r="C734" t="s">
        <v>1411</v>
      </c>
      <c r="D734" t="s">
        <v>1412</v>
      </c>
      <c r="E734" t="s">
        <v>276</v>
      </c>
      <c r="F734" t="s">
        <v>2690</v>
      </c>
      <c r="G734" t="s">
        <v>2037</v>
      </c>
      <c r="H734" t="s">
        <v>2038</v>
      </c>
    </row>
    <row r="735" spans="1:8" x14ac:dyDescent="0.25">
      <c r="A735" t="s">
        <v>275</v>
      </c>
      <c r="B735" t="s">
        <v>277</v>
      </c>
      <c r="C735" t="s">
        <v>1413</v>
      </c>
      <c r="D735" t="s">
        <v>1414</v>
      </c>
      <c r="E735" t="s">
        <v>277</v>
      </c>
      <c r="F735" t="s">
        <v>2691</v>
      </c>
      <c r="G735" t="s">
        <v>2037</v>
      </c>
      <c r="H735" t="s">
        <v>2038</v>
      </c>
    </row>
    <row r="736" spans="1:8" x14ac:dyDescent="0.25">
      <c r="A736" t="s">
        <v>274</v>
      </c>
      <c r="B736" t="s">
        <v>8</v>
      </c>
      <c r="C736" t="s">
        <v>643</v>
      </c>
      <c r="D736" t="s">
        <v>1415</v>
      </c>
      <c r="E736" t="s">
        <v>8</v>
      </c>
      <c r="F736" t="s">
        <v>2692</v>
      </c>
      <c r="G736" t="s">
        <v>2037</v>
      </c>
      <c r="H736" t="s">
        <v>2038</v>
      </c>
    </row>
    <row r="737" spans="1:8" x14ac:dyDescent="0.25">
      <c r="A737" t="s">
        <v>274</v>
      </c>
      <c r="B737" t="s">
        <v>9</v>
      </c>
      <c r="C737" t="s">
        <v>646</v>
      </c>
      <c r="D737" t="s">
        <v>647</v>
      </c>
      <c r="E737" t="s">
        <v>647</v>
      </c>
      <c r="F737" t="s">
        <v>2693</v>
      </c>
      <c r="G737" t="s">
        <v>2037</v>
      </c>
      <c r="H737" t="s">
        <v>2038</v>
      </c>
    </row>
    <row r="738" spans="1:8" x14ac:dyDescent="0.25">
      <c r="A738" t="s">
        <v>274</v>
      </c>
      <c r="B738" t="s">
        <v>278</v>
      </c>
      <c r="C738" t="s">
        <v>648</v>
      </c>
      <c r="D738" t="s">
        <v>1416</v>
      </c>
      <c r="E738" t="s">
        <v>278</v>
      </c>
      <c r="F738" t="s">
        <v>2694</v>
      </c>
      <c r="G738" t="s">
        <v>2037</v>
      </c>
      <c r="H738" t="s">
        <v>2038</v>
      </c>
    </row>
    <row r="739" spans="1:8" x14ac:dyDescent="0.25">
      <c r="A739" t="s">
        <v>274</v>
      </c>
      <c r="B739" t="s">
        <v>11</v>
      </c>
      <c r="C739" t="s">
        <v>650</v>
      </c>
      <c r="D739" t="s">
        <v>1417</v>
      </c>
      <c r="E739" t="s">
        <v>652</v>
      </c>
      <c r="F739" t="s">
        <v>2695</v>
      </c>
      <c r="G739" t="s">
        <v>2037</v>
      </c>
      <c r="H739" t="s">
        <v>2038</v>
      </c>
    </row>
    <row r="740" spans="1:8" x14ac:dyDescent="0.25">
      <c r="A740" t="s">
        <v>275</v>
      </c>
      <c r="B740" t="s">
        <v>12</v>
      </c>
      <c r="C740" t="s">
        <v>653</v>
      </c>
      <c r="D740" t="s">
        <v>1418</v>
      </c>
      <c r="E740" t="s">
        <v>655</v>
      </c>
      <c r="F740" t="s">
        <v>2696</v>
      </c>
      <c r="G740" t="s">
        <v>2037</v>
      </c>
      <c r="H740" t="s">
        <v>2038</v>
      </c>
    </row>
    <row r="741" spans="1:8" x14ac:dyDescent="0.25">
      <c r="A741" t="s">
        <v>274</v>
      </c>
      <c r="B741" t="s">
        <v>279</v>
      </c>
      <c r="C741" t="s">
        <v>1419</v>
      </c>
      <c r="D741" t="s">
        <v>1420</v>
      </c>
      <c r="E741" t="s">
        <v>279</v>
      </c>
      <c r="F741" t="s">
        <v>2697</v>
      </c>
      <c r="G741" t="s">
        <v>2037</v>
      </c>
      <c r="H741" t="s">
        <v>2038</v>
      </c>
    </row>
    <row r="742" spans="1:8" x14ac:dyDescent="0.25">
      <c r="D742" t="s">
        <v>1421</v>
      </c>
      <c r="E742" t="s">
        <v>8</v>
      </c>
      <c r="F742" t="s">
        <v>2079</v>
      </c>
    </row>
    <row r="743" spans="1:8" x14ac:dyDescent="0.25">
      <c r="A743" t="s">
        <v>274</v>
      </c>
      <c r="B743" t="s">
        <v>14</v>
      </c>
      <c r="C743" t="s">
        <v>1112</v>
      </c>
      <c r="D743" t="s">
        <v>1422</v>
      </c>
      <c r="E743" t="s">
        <v>1423</v>
      </c>
      <c r="F743" t="s">
        <v>2698</v>
      </c>
      <c r="G743" t="s">
        <v>2037</v>
      </c>
      <c r="H743" t="s">
        <v>2038</v>
      </c>
    </row>
    <row r="744" spans="1:8" x14ac:dyDescent="0.25">
      <c r="D744" t="s">
        <v>1424</v>
      </c>
      <c r="E744" t="s">
        <v>1425</v>
      </c>
      <c r="F744" t="s">
        <v>2079</v>
      </c>
    </row>
    <row r="745" spans="1:8" x14ac:dyDescent="0.25">
      <c r="D745" t="s">
        <v>1426</v>
      </c>
      <c r="E745" t="s">
        <v>1427</v>
      </c>
      <c r="F745" t="s">
        <v>2079</v>
      </c>
    </row>
    <row r="746" spans="1:8" x14ac:dyDescent="0.25">
      <c r="D746" t="s">
        <v>1428</v>
      </c>
      <c r="E746" t="s">
        <v>1429</v>
      </c>
      <c r="F746" t="s">
        <v>2079</v>
      </c>
    </row>
    <row r="747" spans="1:8" x14ac:dyDescent="0.25">
      <c r="A747" t="s">
        <v>275</v>
      </c>
      <c r="B747" t="s">
        <v>16</v>
      </c>
      <c r="C747" t="s">
        <v>664</v>
      </c>
      <c r="D747" t="s">
        <v>1430</v>
      </c>
      <c r="E747" t="s">
        <v>16</v>
      </c>
      <c r="F747" t="s">
        <v>2699</v>
      </c>
      <c r="G747" t="s">
        <v>2037</v>
      </c>
      <c r="H747" t="s">
        <v>2038</v>
      </c>
    </row>
    <row r="748" spans="1:8" x14ac:dyDescent="0.25">
      <c r="A748" t="s">
        <v>275</v>
      </c>
      <c r="B748" t="s">
        <v>17</v>
      </c>
      <c r="C748" t="s">
        <v>666</v>
      </c>
      <c r="D748" t="s">
        <v>1431</v>
      </c>
      <c r="E748" t="s">
        <v>17</v>
      </c>
      <c r="F748" t="s">
        <v>2700</v>
      </c>
      <c r="G748" t="s">
        <v>2037</v>
      </c>
      <c r="H748" t="s">
        <v>2038</v>
      </c>
    </row>
    <row r="749" spans="1:8" x14ac:dyDescent="0.25">
      <c r="A749" t="s">
        <v>275</v>
      </c>
      <c r="B749" t="s">
        <v>280</v>
      </c>
      <c r="C749" t="s">
        <v>668</v>
      </c>
      <c r="D749" t="s">
        <v>1432</v>
      </c>
      <c r="E749" t="s">
        <v>670</v>
      </c>
      <c r="F749" t="s">
        <v>2701</v>
      </c>
      <c r="G749" t="s">
        <v>2037</v>
      </c>
      <c r="H749" t="s">
        <v>2038</v>
      </c>
    </row>
    <row r="750" spans="1:8" x14ac:dyDescent="0.25">
      <c r="A750" t="s">
        <v>275</v>
      </c>
      <c r="B750" t="s">
        <v>8</v>
      </c>
      <c r="C750" t="s">
        <v>1433</v>
      </c>
      <c r="D750" t="s">
        <v>1434</v>
      </c>
      <c r="E750" t="s">
        <v>8</v>
      </c>
      <c r="F750" t="s">
        <v>2702</v>
      </c>
      <c r="G750" t="s">
        <v>2037</v>
      </c>
      <c r="H750" t="s">
        <v>2038</v>
      </c>
    </row>
    <row r="751" spans="1:8" x14ac:dyDescent="0.25">
      <c r="A751" t="s">
        <v>275</v>
      </c>
      <c r="B751" t="s">
        <v>281</v>
      </c>
      <c r="C751" t="s">
        <v>1435</v>
      </c>
      <c r="D751" t="s">
        <v>1436</v>
      </c>
      <c r="E751" t="s">
        <v>281</v>
      </c>
      <c r="F751" t="s">
        <v>2703</v>
      </c>
      <c r="G751" t="s">
        <v>2037</v>
      </c>
      <c r="H751" t="s">
        <v>2038</v>
      </c>
    </row>
    <row r="752" spans="1:8" x14ac:dyDescent="0.25">
      <c r="A752" t="s">
        <v>275</v>
      </c>
      <c r="B752" t="s">
        <v>282</v>
      </c>
      <c r="C752" t="s">
        <v>1437</v>
      </c>
      <c r="D752" t="s">
        <v>1438</v>
      </c>
      <c r="E752" t="s">
        <v>282</v>
      </c>
      <c r="F752" t="s">
        <v>2704</v>
      </c>
      <c r="G752" t="s">
        <v>2037</v>
      </c>
      <c r="H752" t="s">
        <v>2038</v>
      </c>
    </row>
    <row r="753" spans="1:8" x14ac:dyDescent="0.25">
      <c r="A753" t="s">
        <v>275</v>
      </c>
      <c r="B753" t="s">
        <v>283</v>
      </c>
      <c r="C753" t="s">
        <v>1439</v>
      </c>
      <c r="D753" t="s">
        <v>1440</v>
      </c>
      <c r="E753" t="s">
        <v>283</v>
      </c>
      <c r="F753" t="s">
        <v>2705</v>
      </c>
      <c r="G753" t="s">
        <v>2037</v>
      </c>
      <c r="H753" t="s">
        <v>2038</v>
      </c>
    </row>
    <row r="754" spans="1:8" x14ac:dyDescent="0.25">
      <c r="A754" t="s">
        <v>275</v>
      </c>
      <c r="B754" t="s">
        <v>284</v>
      </c>
      <c r="C754" t="s">
        <v>1441</v>
      </c>
      <c r="D754" t="s">
        <v>1442</v>
      </c>
      <c r="E754" t="s">
        <v>284</v>
      </c>
      <c r="F754" t="s">
        <v>2706</v>
      </c>
      <c r="G754" t="s">
        <v>2037</v>
      </c>
      <c r="H754" t="s">
        <v>2038</v>
      </c>
    </row>
    <row r="755" spans="1:8" x14ac:dyDescent="0.25">
      <c r="A755" t="s">
        <v>275</v>
      </c>
      <c r="B755" t="s">
        <v>285</v>
      </c>
      <c r="C755" t="s">
        <v>671</v>
      </c>
      <c r="D755" t="s">
        <v>1443</v>
      </c>
      <c r="E755" t="s">
        <v>285</v>
      </c>
      <c r="F755" t="s">
        <v>2707</v>
      </c>
      <c r="G755" t="s">
        <v>2037</v>
      </c>
      <c r="H755" t="s">
        <v>2038</v>
      </c>
    </row>
    <row r="756" spans="1:8" x14ac:dyDescent="0.25">
      <c r="A756" t="s">
        <v>275</v>
      </c>
      <c r="B756" t="s">
        <v>286</v>
      </c>
      <c r="C756" t="s">
        <v>671</v>
      </c>
      <c r="D756" t="s">
        <v>1444</v>
      </c>
      <c r="E756" t="s">
        <v>286</v>
      </c>
      <c r="F756" t="s">
        <v>2708</v>
      </c>
      <c r="G756" t="s">
        <v>2037</v>
      </c>
      <c r="H756" t="s">
        <v>2038</v>
      </c>
    </row>
    <row r="757" spans="1:8" x14ac:dyDescent="0.25">
      <c r="A757" t="s">
        <v>275</v>
      </c>
      <c r="B757" t="s">
        <v>287</v>
      </c>
      <c r="C757" t="s">
        <v>1445</v>
      </c>
      <c r="D757" t="s">
        <v>1446</v>
      </c>
      <c r="E757" t="s">
        <v>287</v>
      </c>
      <c r="F757" t="s">
        <v>2709</v>
      </c>
      <c r="G757" t="s">
        <v>2037</v>
      </c>
      <c r="H757" t="s">
        <v>2038</v>
      </c>
    </row>
    <row r="758" spans="1:8" x14ac:dyDescent="0.25">
      <c r="A758" t="s">
        <v>275</v>
      </c>
      <c r="B758" t="s">
        <v>8</v>
      </c>
      <c r="C758" t="s">
        <v>8</v>
      </c>
      <c r="F758" t="s">
        <v>2710</v>
      </c>
      <c r="G758" t="s">
        <v>2037</v>
      </c>
      <c r="H758" t="s">
        <v>2038</v>
      </c>
    </row>
    <row r="759" spans="1:8" x14ac:dyDescent="0.25">
      <c r="A759" t="s">
        <v>275</v>
      </c>
      <c r="B759" t="s">
        <v>26</v>
      </c>
      <c r="C759" t="s">
        <v>1135</v>
      </c>
      <c r="D759" t="s">
        <v>1447</v>
      </c>
      <c r="E759" t="s">
        <v>687</v>
      </c>
      <c r="F759" t="s">
        <v>2711</v>
      </c>
      <c r="G759" t="s">
        <v>2037</v>
      </c>
      <c r="H759" t="s">
        <v>2038</v>
      </c>
    </row>
    <row r="760" spans="1:8" x14ac:dyDescent="0.25">
      <c r="A760" t="s">
        <v>274</v>
      </c>
      <c r="B760" t="s">
        <v>28</v>
      </c>
      <c r="C760" t="s">
        <v>690</v>
      </c>
      <c r="F760" t="s">
        <v>2712</v>
      </c>
      <c r="G760" t="s">
        <v>2037</v>
      </c>
      <c r="H760" t="s">
        <v>2038</v>
      </c>
    </row>
    <row r="761" spans="1:8" x14ac:dyDescent="0.25">
      <c r="A761" t="s">
        <v>274</v>
      </c>
      <c r="B761" t="s">
        <v>29</v>
      </c>
      <c r="C761" t="s">
        <v>693</v>
      </c>
      <c r="F761" t="s">
        <v>2713</v>
      </c>
      <c r="G761" t="s">
        <v>2037</v>
      </c>
      <c r="H761" t="s">
        <v>2038</v>
      </c>
    </row>
    <row r="762" spans="1:8" x14ac:dyDescent="0.25">
      <c r="A762" t="s">
        <v>288</v>
      </c>
      <c r="B762" t="s">
        <v>31</v>
      </c>
      <c r="C762" t="s">
        <v>694</v>
      </c>
      <c r="D762" t="s">
        <v>1448</v>
      </c>
      <c r="E762" t="s">
        <v>31</v>
      </c>
      <c r="F762" t="s">
        <v>2714</v>
      </c>
      <c r="G762" t="s">
        <v>2037</v>
      </c>
      <c r="H762" t="s">
        <v>2038</v>
      </c>
    </row>
    <row r="763" spans="1:8" x14ac:dyDescent="0.25">
      <c r="A763" t="s">
        <v>288</v>
      </c>
      <c r="B763" t="s">
        <v>17</v>
      </c>
      <c r="C763" t="s">
        <v>1449</v>
      </c>
      <c r="D763" t="s">
        <v>1450</v>
      </c>
      <c r="E763" t="s">
        <v>17</v>
      </c>
      <c r="F763" t="s">
        <v>2715</v>
      </c>
      <c r="G763" t="s">
        <v>2037</v>
      </c>
      <c r="H763" t="s">
        <v>2038</v>
      </c>
    </row>
    <row r="764" spans="1:8" x14ac:dyDescent="0.25">
      <c r="A764" t="s">
        <v>288</v>
      </c>
      <c r="B764" t="s">
        <v>16</v>
      </c>
      <c r="C764" t="s">
        <v>1451</v>
      </c>
      <c r="D764" t="s">
        <v>1452</v>
      </c>
      <c r="E764" t="s">
        <v>16</v>
      </c>
      <c r="F764" t="s">
        <v>2716</v>
      </c>
      <c r="G764" t="s">
        <v>2037</v>
      </c>
      <c r="H764" t="s">
        <v>2038</v>
      </c>
    </row>
    <row r="765" spans="1:8" x14ac:dyDescent="0.25">
      <c r="A765" t="s">
        <v>288</v>
      </c>
      <c r="B765" t="s">
        <v>32</v>
      </c>
      <c r="C765" t="s">
        <v>700</v>
      </c>
      <c r="D765" t="s">
        <v>1453</v>
      </c>
      <c r="E765" t="s">
        <v>702</v>
      </c>
      <c r="F765" t="s">
        <v>2717</v>
      </c>
      <c r="G765" t="s">
        <v>2037</v>
      </c>
      <c r="H765" t="s">
        <v>2038</v>
      </c>
    </row>
    <row r="766" spans="1:8" x14ac:dyDescent="0.25">
      <c r="A766" t="s">
        <v>288</v>
      </c>
      <c r="B766" t="s">
        <v>33</v>
      </c>
      <c r="C766" t="s">
        <v>703</v>
      </c>
      <c r="D766" t="s">
        <v>1454</v>
      </c>
      <c r="E766" t="s">
        <v>705</v>
      </c>
      <c r="F766" t="s">
        <v>2718</v>
      </c>
      <c r="G766" t="s">
        <v>2037</v>
      </c>
      <c r="H766" t="s">
        <v>2038</v>
      </c>
    </row>
    <row r="767" spans="1:8" x14ac:dyDescent="0.25">
      <c r="A767" t="s">
        <v>288</v>
      </c>
      <c r="B767" t="s">
        <v>289</v>
      </c>
      <c r="C767" t="s">
        <v>706</v>
      </c>
      <c r="D767" t="s">
        <v>1455</v>
      </c>
      <c r="E767" t="s">
        <v>708</v>
      </c>
      <c r="F767" t="s">
        <v>2719</v>
      </c>
      <c r="G767" t="s">
        <v>2037</v>
      </c>
      <c r="H767" t="s">
        <v>2038</v>
      </c>
    </row>
    <row r="768" spans="1:8" x14ac:dyDescent="0.25">
      <c r="A768" t="s">
        <v>288</v>
      </c>
      <c r="B768" t="s">
        <v>290</v>
      </c>
      <c r="C768" t="s">
        <v>709</v>
      </c>
      <c r="D768" t="s">
        <v>1456</v>
      </c>
      <c r="E768" t="s">
        <v>711</v>
      </c>
      <c r="F768" t="s">
        <v>2720</v>
      </c>
      <c r="G768" t="s">
        <v>2037</v>
      </c>
      <c r="H768" t="s">
        <v>2038</v>
      </c>
    </row>
    <row r="769" spans="1:8" x14ac:dyDescent="0.25">
      <c r="A769" t="s">
        <v>288</v>
      </c>
      <c r="B769" t="s">
        <v>291</v>
      </c>
      <c r="C769" t="s">
        <v>712</v>
      </c>
      <c r="D769" t="s">
        <v>1457</v>
      </c>
      <c r="E769" t="s">
        <v>714</v>
      </c>
      <c r="F769" t="s">
        <v>2721</v>
      </c>
      <c r="G769" t="s">
        <v>2037</v>
      </c>
      <c r="H769" t="s">
        <v>2038</v>
      </c>
    </row>
    <row r="770" spans="1:8" x14ac:dyDescent="0.25">
      <c r="A770" t="s">
        <v>288</v>
      </c>
      <c r="B770" t="s">
        <v>292</v>
      </c>
      <c r="C770" t="s">
        <v>715</v>
      </c>
      <c r="D770" t="s">
        <v>1458</v>
      </c>
      <c r="E770" t="s">
        <v>717</v>
      </c>
      <c r="F770" t="s">
        <v>2722</v>
      </c>
      <c r="G770" t="s">
        <v>2037</v>
      </c>
      <c r="H770" t="s">
        <v>2038</v>
      </c>
    </row>
    <row r="771" spans="1:8" x14ac:dyDescent="0.25">
      <c r="A771" t="s">
        <v>288</v>
      </c>
      <c r="B771" t="s">
        <v>293</v>
      </c>
      <c r="C771" t="s">
        <v>718</v>
      </c>
      <c r="D771" t="s">
        <v>1459</v>
      </c>
      <c r="E771" t="s">
        <v>720</v>
      </c>
      <c r="F771" t="s">
        <v>2723</v>
      </c>
      <c r="G771" t="s">
        <v>2037</v>
      </c>
      <c r="H771" t="s">
        <v>2038</v>
      </c>
    </row>
    <row r="772" spans="1:8" x14ac:dyDescent="0.25">
      <c r="A772" t="s">
        <v>288</v>
      </c>
      <c r="B772" t="s">
        <v>8</v>
      </c>
      <c r="C772" t="s">
        <v>721</v>
      </c>
      <c r="D772" t="s">
        <v>1460</v>
      </c>
      <c r="E772" t="s">
        <v>645</v>
      </c>
      <c r="F772" t="s">
        <v>2724</v>
      </c>
      <c r="G772" t="s">
        <v>2037</v>
      </c>
      <c r="H772" t="s">
        <v>2038</v>
      </c>
    </row>
    <row r="773" spans="1:8" x14ac:dyDescent="0.25">
      <c r="A773" t="s">
        <v>288</v>
      </c>
      <c r="B773" t="s">
        <v>8</v>
      </c>
      <c r="C773" t="s">
        <v>723</v>
      </c>
      <c r="D773" t="s">
        <v>1461</v>
      </c>
      <c r="E773" t="s">
        <v>660</v>
      </c>
      <c r="F773" t="s">
        <v>2725</v>
      </c>
      <c r="G773" t="s">
        <v>2037</v>
      </c>
      <c r="H773" t="s">
        <v>2038</v>
      </c>
    </row>
    <row r="774" spans="1:8" x14ac:dyDescent="0.25">
      <c r="A774" t="s">
        <v>288</v>
      </c>
      <c r="B774" t="s">
        <v>39</v>
      </c>
      <c r="C774" t="s">
        <v>725</v>
      </c>
      <c r="D774" t="s">
        <v>1462</v>
      </c>
      <c r="E774" t="s">
        <v>39</v>
      </c>
      <c r="F774" t="s">
        <v>2726</v>
      </c>
      <c r="G774" t="s">
        <v>2037</v>
      </c>
      <c r="H774" t="s">
        <v>2038</v>
      </c>
    </row>
    <row r="775" spans="1:8" x14ac:dyDescent="0.25">
      <c r="A775" t="s">
        <v>288</v>
      </c>
      <c r="B775" t="s">
        <v>40</v>
      </c>
      <c r="C775" t="s">
        <v>728</v>
      </c>
      <c r="D775" t="s">
        <v>1463</v>
      </c>
      <c r="E775" t="s">
        <v>687</v>
      </c>
      <c r="F775" t="s">
        <v>2727</v>
      </c>
      <c r="G775" t="s">
        <v>2037</v>
      </c>
      <c r="H775" t="s">
        <v>2038</v>
      </c>
    </row>
    <row r="776" spans="1:8" x14ac:dyDescent="0.25">
      <c r="A776" t="s">
        <v>294</v>
      </c>
      <c r="B776" t="s">
        <v>3</v>
      </c>
      <c r="C776" t="s">
        <v>633</v>
      </c>
      <c r="D776" t="s">
        <v>1464</v>
      </c>
      <c r="E776" t="s">
        <v>3</v>
      </c>
      <c r="F776" t="s">
        <v>2728</v>
      </c>
      <c r="G776" t="s">
        <v>2037</v>
      </c>
      <c r="H776" t="s">
        <v>2038</v>
      </c>
    </row>
    <row r="777" spans="1:8" x14ac:dyDescent="0.25">
      <c r="A777" t="s">
        <v>294</v>
      </c>
      <c r="B777" t="s">
        <v>27</v>
      </c>
      <c r="C777" t="s">
        <v>688</v>
      </c>
      <c r="D777" t="s">
        <v>1465</v>
      </c>
      <c r="E777" t="s">
        <v>1465</v>
      </c>
      <c r="F777" t="s">
        <v>2729</v>
      </c>
      <c r="G777" t="s">
        <v>2037</v>
      </c>
      <c r="H777" t="s">
        <v>2038</v>
      </c>
    </row>
    <row r="778" spans="1:8" x14ac:dyDescent="0.25">
      <c r="A778" t="s">
        <v>295</v>
      </c>
      <c r="B778" t="s">
        <v>5</v>
      </c>
      <c r="C778" t="s">
        <v>1407</v>
      </c>
      <c r="D778" t="s">
        <v>1466</v>
      </c>
      <c r="E778" t="s">
        <v>638</v>
      </c>
      <c r="F778" t="s">
        <v>2730</v>
      </c>
      <c r="G778" t="s">
        <v>2037</v>
      </c>
      <c r="H778" t="s">
        <v>2038</v>
      </c>
    </row>
    <row r="779" spans="1:8" x14ac:dyDescent="0.25">
      <c r="A779" t="s">
        <v>295</v>
      </c>
      <c r="B779" t="s">
        <v>125</v>
      </c>
      <c r="C779" t="s">
        <v>1409</v>
      </c>
      <c r="D779" t="s">
        <v>1467</v>
      </c>
      <c r="E779" t="s">
        <v>1100</v>
      </c>
      <c r="F779" t="s">
        <v>2731</v>
      </c>
      <c r="G779" t="s">
        <v>2037</v>
      </c>
      <c r="H779" t="s">
        <v>2038</v>
      </c>
    </row>
    <row r="780" spans="1:8" x14ac:dyDescent="0.25">
      <c r="A780" t="s">
        <v>296</v>
      </c>
      <c r="B780" t="s">
        <v>297</v>
      </c>
      <c r="C780" t="s">
        <v>1411</v>
      </c>
      <c r="D780" t="s">
        <v>1468</v>
      </c>
      <c r="E780" t="s">
        <v>297</v>
      </c>
      <c r="F780" t="s">
        <v>2732</v>
      </c>
      <c r="G780" t="s">
        <v>2037</v>
      </c>
      <c r="H780" t="s">
        <v>2038</v>
      </c>
    </row>
    <row r="781" spans="1:8" x14ac:dyDescent="0.25">
      <c r="A781" t="s">
        <v>296</v>
      </c>
      <c r="B781" t="s">
        <v>298</v>
      </c>
      <c r="C781" t="s">
        <v>1413</v>
      </c>
      <c r="D781" t="s">
        <v>1469</v>
      </c>
      <c r="E781" t="s">
        <v>298</v>
      </c>
      <c r="F781" t="s">
        <v>2733</v>
      </c>
      <c r="G781" t="s">
        <v>2037</v>
      </c>
      <c r="H781" t="s">
        <v>2038</v>
      </c>
    </row>
    <row r="782" spans="1:8" x14ac:dyDescent="0.25">
      <c r="A782" t="s">
        <v>295</v>
      </c>
      <c r="B782" t="s">
        <v>8</v>
      </c>
      <c r="C782" t="s">
        <v>643</v>
      </c>
      <c r="D782" t="s">
        <v>1470</v>
      </c>
      <c r="E782" t="s">
        <v>8</v>
      </c>
      <c r="F782" t="s">
        <v>2734</v>
      </c>
      <c r="G782" t="s">
        <v>2037</v>
      </c>
      <c r="H782" t="s">
        <v>2038</v>
      </c>
    </row>
    <row r="783" spans="1:8" x14ac:dyDescent="0.25">
      <c r="A783" t="s">
        <v>295</v>
      </c>
      <c r="B783" t="s">
        <v>9</v>
      </c>
      <c r="C783" t="s">
        <v>646</v>
      </c>
      <c r="D783" t="s">
        <v>647</v>
      </c>
      <c r="E783" t="s">
        <v>647</v>
      </c>
      <c r="F783" t="s">
        <v>2735</v>
      </c>
      <c r="G783" t="s">
        <v>2037</v>
      </c>
      <c r="H783" t="s">
        <v>2038</v>
      </c>
    </row>
    <row r="784" spans="1:8" x14ac:dyDescent="0.25">
      <c r="A784" t="s">
        <v>295</v>
      </c>
      <c r="B784" t="s">
        <v>299</v>
      </c>
      <c r="C784" t="s">
        <v>648</v>
      </c>
      <c r="D784" t="s">
        <v>1471</v>
      </c>
      <c r="E784" t="s">
        <v>299</v>
      </c>
      <c r="F784" t="s">
        <v>2736</v>
      </c>
      <c r="G784" t="s">
        <v>2037</v>
      </c>
      <c r="H784" t="s">
        <v>2038</v>
      </c>
    </row>
    <row r="785" spans="1:8" x14ac:dyDescent="0.25">
      <c r="A785" t="s">
        <v>295</v>
      </c>
      <c r="B785" t="s">
        <v>11</v>
      </c>
      <c r="C785" t="s">
        <v>650</v>
      </c>
      <c r="D785" t="s">
        <v>1472</v>
      </c>
      <c r="E785" t="s">
        <v>652</v>
      </c>
      <c r="F785" t="s">
        <v>2737</v>
      </c>
      <c r="G785" t="s">
        <v>2037</v>
      </c>
      <c r="H785" t="s">
        <v>2038</v>
      </c>
    </row>
    <row r="786" spans="1:8" x14ac:dyDescent="0.25">
      <c r="A786" t="s">
        <v>296</v>
      </c>
      <c r="B786" t="s">
        <v>12</v>
      </c>
      <c r="C786" t="s">
        <v>653</v>
      </c>
      <c r="D786" t="s">
        <v>1473</v>
      </c>
      <c r="E786" t="s">
        <v>655</v>
      </c>
      <c r="F786" t="s">
        <v>2738</v>
      </c>
      <c r="G786" t="s">
        <v>2037</v>
      </c>
      <c r="H786" t="s">
        <v>2038</v>
      </c>
    </row>
    <row r="787" spans="1:8" x14ac:dyDescent="0.25">
      <c r="A787" t="s">
        <v>295</v>
      </c>
      <c r="B787" t="s">
        <v>300</v>
      </c>
      <c r="C787" t="s">
        <v>1419</v>
      </c>
      <c r="D787" t="s">
        <v>1474</v>
      </c>
      <c r="E787" t="s">
        <v>300</v>
      </c>
      <c r="F787" t="s">
        <v>2739</v>
      </c>
      <c r="G787" t="s">
        <v>2037</v>
      </c>
      <c r="H787" t="s">
        <v>2038</v>
      </c>
    </row>
    <row r="788" spans="1:8" x14ac:dyDescent="0.25">
      <c r="A788" t="s">
        <v>296</v>
      </c>
      <c r="B788" t="s">
        <v>8</v>
      </c>
      <c r="C788" t="s">
        <v>1433</v>
      </c>
      <c r="D788" t="s">
        <v>1475</v>
      </c>
      <c r="E788" t="s">
        <v>8</v>
      </c>
      <c r="F788" t="s">
        <v>2740</v>
      </c>
      <c r="G788" t="s">
        <v>2037</v>
      </c>
      <c r="H788" t="s">
        <v>2038</v>
      </c>
    </row>
    <row r="789" spans="1:8" x14ac:dyDescent="0.25">
      <c r="A789" t="s">
        <v>295</v>
      </c>
      <c r="B789" t="s">
        <v>14</v>
      </c>
      <c r="C789" t="s">
        <v>1112</v>
      </c>
      <c r="D789" t="s">
        <v>1476</v>
      </c>
      <c r="E789" t="s">
        <v>1423</v>
      </c>
      <c r="F789" t="s">
        <v>2741</v>
      </c>
      <c r="G789" t="s">
        <v>2037</v>
      </c>
      <c r="H789" t="s">
        <v>2038</v>
      </c>
    </row>
    <row r="790" spans="1:8" x14ac:dyDescent="0.25">
      <c r="D790" t="s">
        <v>1477</v>
      </c>
      <c r="E790" t="s">
        <v>1478</v>
      </c>
      <c r="F790" t="s">
        <v>2079</v>
      </c>
    </row>
    <row r="791" spans="1:8" x14ac:dyDescent="0.25">
      <c r="D791" t="s">
        <v>1479</v>
      </c>
      <c r="E791" t="s">
        <v>1480</v>
      </c>
      <c r="F791" t="s">
        <v>2079</v>
      </c>
    </row>
    <row r="792" spans="1:8" x14ac:dyDescent="0.25">
      <c r="D792" t="s">
        <v>1481</v>
      </c>
      <c r="E792" t="s">
        <v>1482</v>
      </c>
      <c r="F792" t="s">
        <v>2079</v>
      </c>
    </row>
    <row r="793" spans="1:8" x14ac:dyDescent="0.25">
      <c r="A793" t="s">
        <v>296</v>
      </c>
      <c r="B793" t="s">
        <v>16</v>
      </c>
      <c r="C793" t="s">
        <v>664</v>
      </c>
      <c r="D793" t="s">
        <v>1483</v>
      </c>
      <c r="E793" t="s">
        <v>16</v>
      </c>
      <c r="F793" t="s">
        <v>2742</v>
      </c>
      <c r="G793" t="s">
        <v>2037</v>
      </c>
      <c r="H793" t="s">
        <v>2038</v>
      </c>
    </row>
    <row r="794" spans="1:8" x14ac:dyDescent="0.25">
      <c r="A794" t="s">
        <v>296</v>
      </c>
      <c r="B794" t="s">
        <v>17</v>
      </c>
      <c r="C794" t="s">
        <v>666</v>
      </c>
      <c r="D794" t="s">
        <v>1484</v>
      </c>
      <c r="E794" t="s">
        <v>17</v>
      </c>
      <c r="F794" t="s">
        <v>2743</v>
      </c>
      <c r="G794" t="s">
        <v>2037</v>
      </c>
      <c r="H794" t="s">
        <v>2038</v>
      </c>
    </row>
    <row r="795" spans="1:8" x14ac:dyDescent="0.25">
      <c r="A795" t="s">
        <v>296</v>
      </c>
      <c r="B795" t="s">
        <v>301</v>
      </c>
      <c r="C795" t="s">
        <v>668</v>
      </c>
      <c r="D795" t="s">
        <v>1485</v>
      </c>
      <c r="E795" t="s">
        <v>670</v>
      </c>
      <c r="F795" t="s">
        <v>2744</v>
      </c>
      <c r="G795" t="s">
        <v>2037</v>
      </c>
      <c r="H795" t="s">
        <v>2038</v>
      </c>
    </row>
    <row r="796" spans="1:8" x14ac:dyDescent="0.25">
      <c r="A796" t="s">
        <v>296</v>
      </c>
      <c r="B796" t="s">
        <v>8</v>
      </c>
      <c r="C796" t="s">
        <v>8</v>
      </c>
      <c r="D796" t="s">
        <v>1486</v>
      </c>
      <c r="E796" t="s">
        <v>8</v>
      </c>
      <c r="F796" t="s">
        <v>2745</v>
      </c>
      <c r="G796" t="s">
        <v>2037</v>
      </c>
      <c r="H796" t="s">
        <v>2038</v>
      </c>
    </row>
    <row r="797" spans="1:8" x14ac:dyDescent="0.25">
      <c r="A797" t="s">
        <v>296</v>
      </c>
      <c r="B797" t="s">
        <v>302</v>
      </c>
      <c r="C797" t="s">
        <v>1435</v>
      </c>
      <c r="D797" t="s">
        <v>1487</v>
      </c>
      <c r="E797" t="s">
        <v>302</v>
      </c>
      <c r="F797" t="s">
        <v>2746</v>
      </c>
      <c r="G797" t="s">
        <v>2037</v>
      </c>
      <c r="H797" t="s">
        <v>2038</v>
      </c>
    </row>
    <row r="798" spans="1:8" x14ac:dyDescent="0.25">
      <c r="A798" t="s">
        <v>296</v>
      </c>
      <c r="B798" t="s">
        <v>303</v>
      </c>
      <c r="C798" t="s">
        <v>1437</v>
      </c>
      <c r="D798" t="s">
        <v>1488</v>
      </c>
      <c r="E798" t="s">
        <v>303</v>
      </c>
      <c r="F798" t="s">
        <v>2747</v>
      </c>
      <c r="G798" t="s">
        <v>2037</v>
      </c>
      <c r="H798" t="s">
        <v>2038</v>
      </c>
    </row>
    <row r="799" spans="1:8" x14ac:dyDescent="0.25">
      <c r="A799" t="s">
        <v>296</v>
      </c>
      <c r="B799" t="s">
        <v>304</v>
      </c>
      <c r="C799" t="s">
        <v>1439</v>
      </c>
      <c r="D799" t="s">
        <v>1489</v>
      </c>
      <c r="E799" t="s">
        <v>304</v>
      </c>
      <c r="F799" t="s">
        <v>2748</v>
      </c>
      <c r="G799" t="s">
        <v>2037</v>
      </c>
      <c r="H799" t="s">
        <v>2038</v>
      </c>
    </row>
    <row r="800" spans="1:8" x14ac:dyDescent="0.25">
      <c r="A800" t="s">
        <v>296</v>
      </c>
      <c r="B800" t="s">
        <v>305</v>
      </c>
      <c r="C800" t="s">
        <v>1441</v>
      </c>
      <c r="D800" t="s">
        <v>1490</v>
      </c>
      <c r="E800" t="s">
        <v>305</v>
      </c>
      <c r="F800" t="s">
        <v>2749</v>
      </c>
      <c r="G800" t="s">
        <v>2037</v>
      </c>
      <c r="H800" t="s">
        <v>2038</v>
      </c>
    </row>
    <row r="801" spans="1:8" x14ac:dyDescent="0.25">
      <c r="A801" t="s">
        <v>296</v>
      </c>
      <c r="B801" t="s">
        <v>306</v>
      </c>
      <c r="C801" t="s">
        <v>671</v>
      </c>
      <c r="D801" t="s">
        <v>1491</v>
      </c>
      <c r="E801" t="s">
        <v>306</v>
      </c>
      <c r="F801" t="s">
        <v>2750</v>
      </c>
      <c r="G801" t="s">
        <v>2037</v>
      </c>
      <c r="H801" t="s">
        <v>2038</v>
      </c>
    </row>
    <row r="802" spans="1:8" x14ac:dyDescent="0.25">
      <c r="A802" t="s">
        <v>296</v>
      </c>
      <c r="B802" t="s">
        <v>307</v>
      </c>
      <c r="C802" t="s">
        <v>671</v>
      </c>
      <c r="D802" t="s">
        <v>1492</v>
      </c>
      <c r="E802" t="s">
        <v>307</v>
      </c>
      <c r="F802" t="s">
        <v>2751</v>
      </c>
      <c r="G802" t="s">
        <v>2037</v>
      </c>
      <c r="H802" t="s">
        <v>2038</v>
      </c>
    </row>
    <row r="803" spans="1:8" x14ac:dyDescent="0.25">
      <c r="A803" t="s">
        <v>296</v>
      </c>
      <c r="B803" t="s">
        <v>308</v>
      </c>
      <c r="C803" t="s">
        <v>1445</v>
      </c>
      <c r="D803" t="s">
        <v>1493</v>
      </c>
      <c r="E803" t="s">
        <v>308</v>
      </c>
      <c r="F803" t="s">
        <v>2752</v>
      </c>
      <c r="G803" t="s">
        <v>2037</v>
      </c>
      <c r="H803" t="s">
        <v>2038</v>
      </c>
    </row>
    <row r="804" spans="1:8" x14ac:dyDescent="0.25">
      <c r="A804" t="s">
        <v>296</v>
      </c>
      <c r="B804" t="s">
        <v>26</v>
      </c>
      <c r="C804" t="s">
        <v>1135</v>
      </c>
      <c r="D804" t="s">
        <v>1494</v>
      </c>
      <c r="E804" t="s">
        <v>687</v>
      </c>
      <c r="F804" t="s">
        <v>2753</v>
      </c>
      <c r="G804" t="s">
        <v>2037</v>
      </c>
      <c r="H804" t="s">
        <v>2038</v>
      </c>
    </row>
    <row r="805" spans="1:8" x14ac:dyDescent="0.25">
      <c r="A805" t="s">
        <v>295</v>
      </c>
      <c r="B805" t="s">
        <v>28</v>
      </c>
      <c r="C805" t="s">
        <v>690</v>
      </c>
      <c r="F805" t="s">
        <v>2754</v>
      </c>
      <c r="G805" t="s">
        <v>2037</v>
      </c>
      <c r="H805" t="s">
        <v>2038</v>
      </c>
    </row>
    <row r="806" spans="1:8" x14ac:dyDescent="0.25">
      <c r="A806" t="s">
        <v>295</v>
      </c>
      <c r="B806" t="s">
        <v>29</v>
      </c>
      <c r="C806" t="s">
        <v>693</v>
      </c>
      <c r="F806" t="s">
        <v>2755</v>
      </c>
      <c r="G806" t="s">
        <v>2037</v>
      </c>
      <c r="H806" t="s">
        <v>2038</v>
      </c>
    </row>
    <row r="807" spans="1:8" x14ac:dyDescent="0.25">
      <c r="A807" t="s">
        <v>309</v>
      </c>
      <c r="B807" t="s">
        <v>31</v>
      </c>
      <c r="C807" t="s">
        <v>694</v>
      </c>
      <c r="D807" t="s">
        <v>1495</v>
      </c>
      <c r="E807" t="s">
        <v>31</v>
      </c>
      <c r="F807" t="s">
        <v>2756</v>
      </c>
      <c r="G807" t="s">
        <v>2037</v>
      </c>
      <c r="H807" t="s">
        <v>2038</v>
      </c>
    </row>
    <row r="808" spans="1:8" x14ac:dyDescent="0.25">
      <c r="A808" t="s">
        <v>309</v>
      </c>
      <c r="B808" t="s">
        <v>17</v>
      </c>
      <c r="C808" t="s">
        <v>1449</v>
      </c>
      <c r="D808" t="s">
        <v>1496</v>
      </c>
      <c r="E808" t="s">
        <v>17</v>
      </c>
      <c r="F808" t="s">
        <v>2757</v>
      </c>
      <c r="G808" t="s">
        <v>2037</v>
      </c>
      <c r="H808" t="s">
        <v>2038</v>
      </c>
    </row>
    <row r="809" spans="1:8" x14ac:dyDescent="0.25">
      <c r="A809" t="s">
        <v>309</v>
      </c>
      <c r="B809" t="s">
        <v>16</v>
      </c>
      <c r="C809" t="s">
        <v>1451</v>
      </c>
      <c r="D809" t="s">
        <v>1497</v>
      </c>
      <c r="E809" t="s">
        <v>16</v>
      </c>
      <c r="F809" t="s">
        <v>2758</v>
      </c>
      <c r="G809" t="s">
        <v>2037</v>
      </c>
      <c r="H809" t="s">
        <v>2038</v>
      </c>
    </row>
    <row r="810" spans="1:8" x14ac:dyDescent="0.25">
      <c r="A810" t="s">
        <v>309</v>
      </c>
      <c r="B810" t="s">
        <v>310</v>
      </c>
      <c r="C810" t="s">
        <v>700</v>
      </c>
      <c r="D810" t="s">
        <v>1498</v>
      </c>
      <c r="E810" t="s">
        <v>702</v>
      </c>
      <c r="F810" t="s">
        <v>2759</v>
      </c>
      <c r="G810" t="s">
        <v>2037</v>
      </c>
      <c r="H810" t="s">
        <v>2038</v>
      </c>
    </row>
    <row r="811" spans="1:8" x14ac:dyDescent="0.25">
      <c r="A811" t="s">
        <v>309</v>
      </c>
      <c r="B811" t="s">
        <v>311</v>
      </c>
      <c r="C811" t="s">
        <v>703</v>
      </c>
      <c r="D811" t="s">
        <v>1499</v>
      </c>
      <c r="E811" t="s">
        <v>705</v>
      </c>
      <c r="F811" t="s">
        <v>2760</v>
      </c>
      <c r="G811" t="s">
        <v>2037</v>
      </c>
      <c r="H811" t="s">
        <v>2038</v>
      </c>
    </row>
    <row r="812" spans="1:8" x14ac:dyDescent="0.25">
      <c r="A812" t="s">
        <v>309</v>
      </c>
      <c r="B812" t="s">
        <v>312</v>
      </c>
      <c r="C812" t="s">
        <v>706</v>
      </c>
      <c r="D812" t="s">
        <v>1500</v>
      </c>
      <c r="E812" t="s">
        <v>708</v>
      </c>
      <c r="F812" t="s">
        <v>2761</v>
      </c>
      <c r="G812" t="s">
        <v>2037</v>
      </c>
      <c r="H812" t="s">
        <v>2038</v>
      </c>
    </row>
    <row r="813" spans="1:8" x14ac:dyDescent="0.25">
      <c r="A813" t="s">
        <v>309</v>
      </c>
      <c r="B813" t="s">
        <v>313</v>
      </c>
      <c r="C813" t="s">
        <v>709</v>
      </c>
      <c r="D813" t="s">
        <v>1501</v>
      </c>
      <c r="E813" t="s">
        <v>711</v>
      </c>
      <c r="F813" t="s">
        <v>2762</v>
      </c>
      <c r="G813" t="s">
        <v>2037</v>
      </c>
      <c r="H813" t="s">
        <v>2038</v>
      </c>
    </row>
    <row r="814" spans="1:8" x14ac:dyDescent="0.25">
      <c r="A814" t="s">
        <v>309</v>
      </c>
      <c r="B814" t="s">
        <v>314</v>
      </c>
      <c r="C814" t="s">
        <v>712</v>
      </c>
      <c r="D814" t="s">
        <v>1502</v>
      </c>
      <c r="E814" t="s">
        <v>714</v>
      </c>
      <c r="F814" t="s">
        <v>2763</v>
      </c>
      <c r="G814" t="s">
        <v>2037</v>
      </c>
      <c r="H814" t="s">
        <v>2038</v>
      </c>
    </row>
    <row r="815" spans="1:8" x14ac:dyDescent="0.25">
      <c r="A815" t="s">
        <v>309</v>
      </c>
      <c r="B815" t="s">
        <v>315</v>
      </c>
      <c r="C815" t="s">
        <v>715</v>
      </c>
      <c r="D815" t="s">
        <v>1503</v>
      </c>
      <c r="E815" t="s">
        <v>717</v>
      </c>
      <c r="F815" t="s">
        <v>2764</v>
      </c>
      <c r="G815" t="s">
        <v>2037</v>
      </c>
      <c r="H815" t="s">
        <v>2038</v>
      </c>
    </row>
    <row r="816" spans="1:8" x14ac:dyDescent="0.25">
      <c r="A816" t="s">
        <v>309</v>
      </c>
      <c r="B816" t="s">
        <v>316</v>
      </c>
      <c r="C816" t="s">
        <v>718</v>
      </c>
      <c r="D816" t="s">
        <v>1504</v>
      </c>
      <c r="E816" t="s">
        <v>720</v>
      </c>
      <c r="F816" t="s">
        <v>2765</v>
      </c>
      <c r="G816" t="s">
        <v>2037</v>
      </c>
      <c r="H816" t="s">
        <v>2038</v>
      </c>
    </row>
    <row r="817" spans="1:8" x14ac:dyDescent="0.25">
      <c r="A817" t="s">
        <v>309</v>
      </c>
      <c r="B817" t="s">
        <v>8</v>
      </c>
      <c r="C817" t="s">
        <v>721</v>
      </c>
      <c r="D817" t="s">
        <v>1505</v>
      </c>
      <c r="E817" t="s">
        <v>645</v>
      </c>
      <c r="F817" t="s">
        <v>2766</v>
      </c>
      <c r="G817" t="s">
        <v>2037</v>
      </c>
      <c r="H817" t="s">
        <v>2038</v>
      </c>
    </row>
    <row r="818" spans="1:8" x14ac:dyDescent="0.25">
      <c r="A818" t="s">
        <v>309</v>
      </c>
      <c r="B818" t="s">
        <v>8</v>
      </c>
      <c r="C818" t="s">
        <v>723</v>
      </c>
      <c r="D818" t="s">
        <v>1506</v>
      </c>
      <c r="E818" t="s">
        <v>660</v>
      </c>
      <c r="F818" t="s">
        <v>2767</v>
      </c>
      <c r="G818" t="s">
        <v>2037</v>
      </c>
      <c r="H818" t="s">
        <v>2038</v>
      </c>
    </row>
    <row r="819" spans="1:8" x14ac:dyDescent="0.25">
      <c r="A819" t="s">
        <v>309</v>
      </c>
      <c r="B819" t="s">
        <v>39</v>
      </c>
      <c r="C819" t="s">
        <v>725</v>
      </c>
      <c r="D819" t="s">
        <v>1507</v>
      </c>
      <c r="E819" t="s">
        <v>39</v>
      </c>
      <c r="F819" t="s">
        <v>2768</v>
      </c>
      <c r="G819" t="s">
        <v>2037</v>
      </c>
      <c r="H819" t="s">
        <v>2038</v>
      </c>
    </row>
    <row r="820" spans="1:8" x14ac:dyDescent="0.25">
      <c r="A820" t="s">
        <v>309</v>
      </c>
      <c r="B820" t="s">
        <v>40</v>
      </c>
      <c r="C820" t="s">
        <v>728</v>
      </c>
      <c r="D820" t="s">
        <v>1508</v>
      </c>
      <c r="E820" t="s">
        <v>687</v>
      </c>
      <c r="F820" t="s">
        <v>2769</v>
      </c>
      <c r="G820" t="s">
        <v>2037</v>
      </c>
      <c r="H820" t="s">
        <v>2038</v>
      </c>
    </row>
    <row r="821" spans="1:8" x14ac:dyDescent="0.25">
      <c r="A821" t="s">
        <v>317</v>
      </c>
      <c r="B821" t="s">
        <v>3</v>
      </c>
      <c r="C821" t="s">
        <v>633</v>
      </c>
      <c r="D821" t="s">
        <v>1509</v>
      </c>
      <c r="E821" t="s">
        <v>3</v>
      </c>
      <c r="F821" t="s">
        <v>2770</v>
      </c>
      <c r="G821" t="s">
        <v>2037</v>
      </c>
      <c r="H821" t="s">
        <v>2038</v>
      </c>
    </row>
    <row r="822" spans="1:8" x14ac:dyDescent="0.25">
      <c r="A822" t="s">
        <v>317</v>
      </c>
      <c r="B822" t="s">
        <v>27</v>
      </c>
      <c r="C822" t="s">
        <v>688</v>
      </c>
      <c r="D822" t="s">
        <v>1510</v>
      </c>
      <c r="E822" t="s">
        <v>1510</v>
      </c>
      <c r="F822" t="s">
        <v>2771</v>
      </c>
      <c r="G822" t="s">
        <v>2037</v>
      </c>
      <c r="H822" t="s">
        <v>2038</v>
      </c>
    </row>
    <row r="823" spans="1:8" x14ac:dyDescent="0.25">
      <c r="A823" t="s">
        <v>318</v>
      </c>
      <c r="B823" t="s">
        <v>5</v>
      </c>
      <c r="C823" t="s">
        <v>1407</v>
      </c>
      <c r="D823" t="s">
        <v>1511</v>
      </c>
      <c r="E823" t="s">
        <v>638</v>
      </c>
      <c r="F823" t="s">
        <v>2772</v>
      </c>
      <c r="G823" t="s">
        <v>2037</v>
      </c>
      <c r="H823" t="s">
        <v>2038</v>
      </c>
    </row>
    <row r="824" spans="1:8" x14ac:dyDescent="0.25">
      <c r="A824" t="s">
        <v>318</v>
      </c>
      <c r="B824" t="s">
        <v>125</v>
      </c>
      <c r="C824" t="s">
        <v>1409</v>
      </c>
      <c r="D824" t="s">
        <v>1512</v>
      </c>
      <c r="E824" t="s">
        <v>1100</v>
      </c>
      <c r="F824" t="s">
        <v>2773</v>
      </c>
      <c r="G824" t="s">
        <v>2037</v>
      </c>
      <c r="H824" t="s">
        <v>2038</v>
      </c>
    </row>
    <row r="825" spans="1:8" x14ac:dyDescent="0.25">
      <c r="A825" t="s">
        <v>319</v>
      </c>
      <c r="B825" t="s">
        <v>320</v>
      </c>
      <c r="C825" t="s">
        <v>1411</v>
      </c>
      <c r="D825" t="s">
        <v>1513</v>
      </c>
      <c r="E825" t="s">
        <v>320</v>
      </c>
      <c r="F825" t="s">
        <v>2774</v>
      </c>
      <c r="G825" t="s">
        <v>2037</v>
      </c>
      <c r="H825" t="s">
        <v>2038</v>
      </c>
    </row>
    <row r="826" spans="1:8" x14ac:dyDescent="0.25">
      <c r="A826" t="s">
        <v>319</v>
      </c>
      <c r="B826" t="s">
        <v>321</v>
      </c>
      <c r="C826" t="s">
        <v>1413</v>
      </c>
      <c r="D826" t="s">
        <v>1514</v>
      </c>
      <c r="E826" t="s">
        <v>321</v>
      </c>
      <c r="F826" t="s">
        <v>2775</v>
      </c>
      <c r="G826" t="s">
        <v>2037</v>
      </c>
      <c r="H826" t="s">
        <v>2038</v>
      </c>
    </row>
    <row r="827" spans="1:8" x14ac:dyDescent="0.25">
      <c r="A827" t="s">
        <v>318</v>
      </c>
      <c r="B827" t="s">
        <v>8</v>
      </c>
      <c r="C827" t="s">
        <v>643</v>
      </c>
      <c r="D827" t="s">
        <v>1515</v>
      </c>
      <c r="E827" t="s">
        <v>8</v>
      </c>
      <c r="F827" t="s">
        <v>2776</v>
      </c>
      <c r="G827" t="s">
        <v>2037</v>
      </c>
      <c r="H827" t="s">
        <v>2038</v>
      </c>
    </row>
    <row r="828" spans="1:8" x14ac:dyDescent="0.25">
      <c r="A828" t="s">
        <v>318</v>
      </c>
      <c r="B828" t="s">
        <v>9</v>
      </c>
      <c r="C828" t="s">
        <v>646</v>
      </c>
      <c r="D828" t="s">
        <v>647</v>
      </c>
      <c r="E828" t="s">
        <v>647</v>
      </c>
      <c r="F828" t="s">
        <v>2777</v>
      </c>
      <c r="G828" t="s">
        <v>2037</v>
      </c>
      <c r="H828" t="s">
        <v>2038</v>
      </c>
    </row>
    <row r="829" spans="1:8" x14ac:dyDescent="0.25">
      <c r="A829" t="s">
        <v>318</v>
      </c>
      <c r="B829" t="s">
        <v>322</v>
      </c>
      <c r="C829" t="s">
        <v>648</v>
      </c>
      <c r="D829" t="s">
        <v>1516</v>
      </c>
      <c r="E829" t="s">
        <v>322</v>
      </c>
      <c r="F829" t="s">
        <v>2778</v>
      </c>
      <c r="G829" t="s">
        <v>2037</v>
      </c>
      <c r="H829" t="s">
        <v>2038</v>
      </c>
    </row>
    <row r="830" spans="1:8" x14ac:dyDescent="0.25">
      <c r="A830" t="s">
        <v>318</v>
      </c>
      <c r="B830" t="s">
        <v>11</v>
      </c>
      <c r="C830" t="s">
        <v>650</v>
      </c>
      <c r="D830" t="s">
        <v>1517</v>
      </c>
      <c r="E830" t="s">
        <v>652</v>
      </c>
      <c r="F830" t="s">
        <v>2779</v>
      </c>
      <c r="G830" t="s">
        <v>2037</v>
      </c>
      <c r="H830" t="s">
        <v>2038</v>
      </c>
    </row>
    <row r="831" spans="1:8" x14ac:dyDescent="0.25">
      <c r="A831" t="s">
        <v>319</v>
      </c>
      <c r="B831" t="s">
        <v>12</v>
      </c>
      <c r="C831" t="s">
        <v>653</v>
      </c>
      <c r="D831" t="s">
        <v>1518</v>
      </c>
      <c r="E831" t="s">
        <v>655</v>
      </c>
      <c r="F831" t="s">
        <v>2780</v>
      </c>
      <c r="G831" t="s">
        <v>2037</v>
      </c>
      <c r="H831" t="s">
        <v>2038</v>
      </c>
    </row>
    <row r="832" spans="1:8" x14ac:dyDescent="0.25">
      <c r="A832" t="s">
        <v>318</v>
      </c>
      <c r="B832" t="s">
        <v>323</v>
      </c>
      <c r="C832" t="s">
        <v>1419</v>
      </c>
      <c r="D832" t="s">
        <v>1519</v>
      </c>
      <c r="E832" t="s">
        <v>323</v>
      </c>
      <c r="F832" t="s">
        <v>2781</v>
      </c>
      <c r="G832" t="s">
        <v>2037</v>
      </c>
      <c r="H832" t="s">
        <v>2038</v>
      </c>
    </row>
    <row r="833" spans="1:8" x14ac:dyDescent="0.25">
      <c r="A833" t="s">
        <v>319</v>
      </c>
      <c r="B833" t="s">
        <v>8</v>
      </c>
      <c r="C833" t="s">
        <v>8</v>
      </c>
      <c r="D833" t="s">
        <v>1520</v>
      </c>
      <c r="E833" t="s">
        <v>8</v>
      </c>
      <c r="F833" t="s">
        <v>2782</v>
      </c>
      <c r="G833" t="s">
        <v>2037</v>
      </c>
      <c r="H833" t="s">
        <v>2038</v>
      </c>
    </row>
    <row r="834" spans="1:8" x14ac:dyDescent="0.25">
      <c r="A834" t="s">
        <v>318</v>
      </c>
      <c r="B834" t="s">
        <v>14</v>
      </c>
      <c r="C834" t="s">
        <v>1112</v>
      </c>
      <c r="D834" t="s">
        <v>1521</v>
      </c>
      <c r="E834" t="s">
        <v>1423</v>
      </c>
      <c r="F834" t="s">
        <v>2783</v>
      </c>
      <c r="G834" t="s">
        <v>2037</v>
      </c>
      <c r="H834" t="s">
        <v>2038</v>
      </c>
    </row>
    <row r="835" spans="1:8" x14ac:dyDescent="0.25">
      <c r="D835" t="s">
        <v>1522</v>
      </c>
      <c r="E835" t="s">
        <v>1523</v>
      </c>
      <c r="F835" t="s">
        <v>2079</v>
      </c>
    </row>
    <row r="836" spans="1:8" x14ac:dyDescent="0.25">
      <c r="D836" t="s">
        <v>1524</v>
      </c>
      <c r="E836" t="s">
        <v>1525</v>
      </c>
      <c r="F836" t="s">
        <v>2079</v>
      </c>
    </row>
    <row r="837" spans="1:8" x14ac:dyDescent="0.25">
      <c r="D837" t="s">
        <v>1526</v>
      </c>
      <c r="E837" t="s">
        <v>1527</v>
      </c>
      <c r="F837" t="s">
        <v>2079</v>
      </c>
    </row>
    <row r="838" spans="1:8" x14ac:dyDescent="0.25">
      <c r="A838" t="s">
        <v>319</v>
      </c>
      <c r="B838" t="s">
        <v>16</v>
      </c>
      <c r="C838" t="s">
        <v>664</v>
      </c>
      <c r="D838" t="s">
        <v>1528</v>
      </c>
      <c r="E838" t="s">
        <v>16</v>
      </c>
      <c r="F838" t="s">
        <v>2784</v>
      </c>
      <c r="G838" t="s">
        <v>2037</v>
      </c>
      <c r="H838" t="s">
        <v>2038</v>
      </c>
    </row>
    <row r="839" spans="1:8" x14ac:dyDescent="0.25">
      <c r="A839" t="s">
        <v>319</v>
      </c>
      <c r="B839" t="s">
        <v>17</v>
      </c>
      <c r="C839" t="s">
        <v>666</v>
      </c>
      <c r="D839" t="s">
        <v>1529</v>
      </c>
      <c r="E839" t="s">
        <v>17</v>
      </c>
      <c r="F839" t="s">
        <v>2785</v>
      </c>
      <c r="G839" t="s">
        <v>2037</v>
      </c>
      <c r="H839" t="s">
        <v>2038</v>
      </c>
    </row>
    <row r="840" spans="1:8" x14ac:dyDescent="0.25">
      <c r="A840" t="s">
        <v>319</v>
      </c>
      <c r="B840" t="s">
        <v>324</v>
      </c>
      <c r="C840" t="s">
        <v>668</v>
      </c>
      <c r="D840" t="s">
        <v>1530</v>
      </c>
      <c r="E840" t="s">
        <v>670</v>
      </c>
      <c r="F840" t="s">
        <v>2786</v>
      </c>
      <c r="G840" t="s">
        <v>2037</v>
      </c>
      <c r="H840" t="s">
        <v>2038</v>
      </c>
    </row>
    <row r="841" spans="1:8" x14ac:dyDescent="0.25">
      <c r="A841" t="s">
        <v>319</v>
      </c>
      <c r="B841" t="s">
        <v>8</v>
      </c>
      <c r="C841" t="s">
        <v>1433</v>
      </c>
      <c r="D841" t="s">
        <v>1531</v>
      </c>
      <c r="E841" t="s">
        <v>8</v>
      </c>
      <c r="F841" t="s">
        <v>2787</v>
      </c>
      <c r="G841" t="s">
        <v>2037</v>
      </c>
      <c r="H841" t="s">
        <v>2038</v>
      </c>
    </row>
    <row r="842" spans="1:8" x14ac:dyDescent="0.25">
      <c r="A842" t="s">
        <v>319</v>
      </c>
      <c r="B842" t="s">
        <v>325</v>
      </c>
      <c r="C842" t="s">
        <v>1435</v>
      </c>
      <c r="D842" t="s">
        <v>1532</v>
      </c>
      <c r="E842" t="s">
        <v>325</v>
      </c>
      <c r="F842" t="s">
        <v>2788</v>
      </c>
      <c r="G842" t="s">
        <v>2037</v>
      </c>
      <c r="H842" t="s">
        <v>2038</v>
      </c>
    </row>
    <row r="843" spans="1:8" x14ac:dyDescent="0.25">
      <c r="A843" t="s">
        <v>319</v>
      </c>
      <c r="B843" t="s">
        <v>326</v>
      </c>
      <c r="C843" t="s">
        <v>1437</v>
      </c>
      <c r="D843" t="s">
        <v>1533</v>
      </c>
      <c r="E843" t="s">
        <v>326</v>
      </c>
      <c r="F843" t="s">
        <v>2789</v>
      </c>
      <c r="G843" t="s">
        <v>2037</v>
      </c>
      <c r="H843" t="s">
        <v>2038</v>
      </c>
    </row>
    <row r="844" spans="1:8" x14ac:dyDescent="0.25">
      <c r="A844" t="s">
        <v>319</v>
      </c>
      <c r="B844" t="s">
        <v>327</v>
      </c>
      <c r="C844" t="s">
        <v>1439</v>
      </c>
      <c r="D844" t="s">
        <v>1534</v>
      </c>
      <c r="E844" t="s">
        <v>327</v>
      </c>
      <c r="F844" t="s">
        <v>2790</v>
      </c>
      <c r="G844" t="s">
        <v>2037</v>
      </c>
      <c r="H844" t="s">
        <v>2038</v>
      </c>
    </row>
    <row r="845" spans="1:8" x14ac:dyDescent="0.25">
      <c r="A845" t="s">
        <v>319</v>
      </c>
      <c r="B845" t="s">
        <v>328</v>
      </c>
      <c r="C845" t="s">
        <v>1441</v>
      </c>
      <c r="D845" t="s">
        <v>1535</v>
      </c>
      <c r="E845" t="s">
        <v>328</v>
      </c>
      <c r="F845" t="s">
        <v>2791</v>
      </c>
      <c r="G845" t="s">
        <v>2037</v>
      </c>
      <c r="H845" t="s">
        <v>2038</v>
      </c>
    </row>
    <row r="846" spans="1:8" x14ac:dyDescent="0.25">
      <c r="A846" t="s">
        <v>319</v>
      </c>
      <c r="B846" t="s">
        <v>329</v>
      </c>
      <c r="C846" t="s">
        <v>671</v>
      </c>
      <c r="D846" t="s">
        <v>1536</v>
      </c>
      <c r="E846" t="s">
        <v>329</v>
      </c>
      <c r="F846" t="s">
        <v>2792</v>
      </c>
      <c r="G846" t="s">
        <v>2037</v>
      </c>
      <c r="H846" t="s">
        <v>2038</v>
      </c>
    </row>
    <row r="847" spans="1:8" x14ac:dyDescent="0.25">
      <c r="A847" t="s">
        <v>319</v>
      </c>
      <c r="B847" t="s">
        <v>8</v>
      </c>
      <c r="C847" t="s">
        <v>671</v>
      </c>
      <c r="D847" t="s">
        <v>1537</v>
      </c>
      <c r="E847" t="s">
        <v>1538</v>
      </c>
      <c r="F847" t="s">
        <v>2793</v>
      </c>
      <c r="G847" t="s">
        <v>2037</v>
      </c>
      <c r="H847" t="s">
        <v>2038</v>
      </c>
    </row>
    <row r="848" spans="1:8" x14ac:dyDescent="0.25">
      <c r="A848" t="s">
        <v>319</v>
      </c>
      <c r="B848" t="s">
        <v>330</v>
      </c>
      <c r="C848" t="s">
        <v>1445</v>
      </c>
      <c r="D848" t="s">
        <v>1539</v>
      </c>
      <c r="E848" t="s">
        <v>330</v>
      </c>
      <c r="F848" t="s">
        <v>2794</v>
      </c>
      <c r="G848" t="s">
        <v>2037</v>
      </c>
      <c r="H848" t="s">
        <v>2038</v>
      </c>
    </row>
    <row r="849" spans="1:8" x14ac:dyDescent="0.25">
      <c r="A849" t="s">
        <v>319</v>
      </c>
      <c r="B849" t="s">
        <v>26</v>
      </c>
      <c r="C849" t="s">
        <v>1135</v>
      </c>
      <c r="D849" t="s">
        <v>1540</v>
      </c>
      <c r="E849" t="s">
        <v>687</v>
      </c>
      <c r="F849" t="s">
        <v>2795</v>
      </c>
      <c r="G849" t="s">
        <v>2037</v>
      </c>
      <c r="H849" t="s">
        <v>2038</v>
      </c>
    </row>
    <row r="850" spans="1:8" x14ac:dyDescent="0.25">
      <c r="A850" t="s">
        <v>318</v>
      </c>
      <c r="B850" t="s">
        <v>28</v>
      </c>
      <c r="C850" t="s">
        <v>690</v>
      </c>
      <c r="F850" t="s">
        <v>2796</v>
      </c>
      <c r="G850" t="s">
        <v>2037</v>
      </c>
      <c r="H850" t="s">
        <v>2038</v>
      </c>
    </row>
    <row r="851" spans="1:8" x14ac:dyDescent="0.25">
      <c r="A851" t="s">
        <v>318</v>
      </c>
      <c r="B851" t="s">
        <v>29</v>
      </c>
      <c r="C851" t="s">
        <v>693</v>
      </c>
      <c r="F851" t="s">
        <v>2797</v>
      </c>
      <c r="G851" t="s">
        <v>2037</v>
      </c>
      <c r="H851" t="s">
        <v>2038</v>
      </c>
    </row>
    <row r="852" spans="1:8" x14ac:dyDescent="0.25">
      <c r="A852" t="s">
        <v>331</v>
      </c>
      <c r="B852" t="s">
        <v>31</v>
      </c>
      <c r="C852" t="s">
        <v>694</v>
      </c>
      <c r="D852" t="s">
        <v>1541</v>
      </c>
      <c r="E852" t="s">
        <v>31</v>
      </c>
      <c r="F852" t="s">
        <v>2798</v>
      </c>
      <c r="G852" t="s">
        <v>2037</v>
      </c>
      <c r="H852" t="s">
        <v>2038</v>
      </c>
    </row>
    <row r="853" spans="1:8" x14ac:dyDescent="0.25">
      <c r="A853" t="s">
        <v>331</v>
      </c>
      <c r="B853" t="s">
        <v>17</v>
      </c>
      <c r="C853" t="s">
        <v>1449</v>
      </c>
      <c r="D853" t="s">
        <v>1542</v>
      </c>
      <c r="E853" t="s">
        <v>17</v>
      </c>
      <c r="F853" t="s">
        <v>2799</v>
      </c>
      <c r="G853" t="s">
        <v>2037</v>
      </c>
      <c r="H853" t="s">
        <v>2038</v>
      </c>
    </row>
    <row r="854" spans="1:8" x14ac:dyDescent="0.25">
      <c r="A854" t="s">
        <v>331</v>
      </c>
      <c r="B854" t="s">
        <v>16</v>
      </c>
      <c r="C854" t="s">
        <v>1451</v>
      </c>
      <c r="D854" t="s">
        <v>1543</v>
      </c>
      <c r="E854" t="s">
        <v>16</v>
      </c>
      <c r="F854" t="s">
        <v>2800</v>
      </c>
      <c r="G854" t="s">
        <v>2037</v>
      </c>
      <c r="H854" t="s">
        <v>2038</v>
      </c>
    </row>
    <row r="855" spans="1:8" x14ac:dyDescent="0.25">
      <c r="A855" t="s">
        <v>331</v>
      </c>
      <c r="B855" t="s">
        <v>332</v>
      </c>
      <c r="C855" t="s">
        <v>700</v>
      </c>
      <c r="D855" t="s">
        <v>1544</v>
      </c>
      <c r="E855" t="s">
        <v>702</v>
      </c>
      <c r="F855" t="s">
        <v>2801</v>
      </c>
      <c r="G855" t="s">
        <v>2037</v>
      </c>
      <c r="H855" t="s">
        <v>2038</v>
      </c>
    </row>
    <row r="856" spans="1:8" x14ac:dyDescent="0.25">
      <c r="A856" t="s">
        <v>331</v>
      </c>
      <c r="B856" t="s">
        <v>333</v>
      </c>
      <c r="C856" t="s">
        <v>703</v>
      </c>
      <c r="D856" t="s">
        <v>1545</v>
      </c>
      <c r="E856" t="s">
        <v>705</v>
      </c>
      <c r="F856" t="s">
        <v>2802</v>
      </c>
      <c r="G856" t="s">
        <v>2037</v>
      </c>
      <c r="H856" t="s">
        <v>2038</v>
      </c>
    </row>
    <row r="857" spans="1:8" x14ac:dyDescent="0.25">
      <c r="A857" t="s">
        <v>331</v>
      </c>
      <c r="B857" t="s">
        <v>334</v>
      </c>
      <c r="C857" t="s">
        <v>706</v>
      </c>
      <c r="D857" t="s">
        <v>1546</v>
      </c>
      <c r="E857" t="s">
        <v>708</v>
      </c>
      <c r="F857" t="s">
        <v>2803</v>
      </c>
      <c r="G857" t="s">
        <v>2037</v>
      </c>
      <c r="H857" t="s">
        <v>2038</v>
      </c>
    </row>
    <row r="858" spans="1:8" x14ac:dyDescent="0.25">
      <c r="A858" t="s">
        <v>331</v>
      </c>
      <c r="B858" t="s">
        <v>335</v>
      </c>
      <c r="C858" t="s">
        <v>709</v>
      </c>
      <c r="D858" t="s">
        <v>1547</v>
      </c>
      <c r="E858" t="s">
        <v>711</v>
      </c>
      <c r="F858" t="s">
        <v>2804</v>
      </c>
      <c r="G858" t="s">
        <v>2037</v>
      </c>
      <c r="H858" t="s">
        <v>2038</v>
      </c>
    </row>
    <row r="859" spans="1:8" x14ac:dyDescent="0.25">
      <c r="A859" t="s">
        <v>331</v>
      </c>
      <c r="B859" t="s">
        <v>336</v>
      </c>
      <c r="C859" t="s">
        <v>712</v>
      </c>
      <c r="D859" t="s">
        <v>1548</v>
      </c>
      <c r="E859" t="s">
        <v>714</v>
      </c>
      <c r="F859" t="s">
        <v>2805</v>
      </c>
      <c r="G859" t="s">
        <v>2037</v>
      </c>
      <c r="H859" t="s">
        <v>2038</v>
      </c>
    </row>
    <row r="860" spans="1:8" x14ac:dyDescent="0.25">
      <c r="A860" t="s">
        <v>331</v>
      </c>
      <c r="B860" t="s">
        <v>337</v>
      </c>
      <c r="C860" t="s">
        <v>715</v>
      </c>
      <c r="D860" t="s">
        <v>1549</v>
      </c>
      <c r="E860" t="s">
        <v>717</v>
      </c>
      <c r="F860" t="s">
        <v>2806</v>
      </c>
      <c r="G860" t="s">
        <v>2037</v>
      </c>
      <c r="H860" t="s">
        <v>2038</v>
      </c>
    </row>
    <row r="861" spans="1:8" x14ac:dyDescent="0.25">
      <c r="A861" t="s">
        <v>331</v>
      </c>
      <c r="B861" t="s">
        <v>338</v>
      </c>
      <c r="C861" t="s">
        <v>718</v>
      </c>
      <c r="D861" t="s">
        <v>1550</v>
      </c>
      <c r="E861" t="s">
        <v>720</v>
      </c>
      <c r="F861" t="s">
        <v>2807</v>
      </c>
      <c r="G861" t="s">
        <v>2037</v>
      </c>
      <c r="H861" t="s">
        <v>2038</v>
      </c>
    </row>
    <row r="862" spans="1:8" x14ac:dyDescent="0.25">
      <c r="A862" t="s">
        <v>331</v>
      </c>
      <c r="B862" t="s">
        <v>8</v>
      </c>
      <c r="C862" t="s">
        <v>721</v>
      </c>
      <c r="D862" t="s">
        <v>1551</v>
      </c>
      <c r="E862" t="s">
        <v>645</v>
      </c>
      <c r="F862" t="s">
        <v>2808</v>
      </c>
      <c r="G862" t="s">
        <v>2037</v>
      </c>
      <c r="H862" t="s">
        <v>2038</v>
      </c>
    </row>
    <row r="863" spans="1:8" x14ac:dyDescent="0.25">
      <c r="A863" t="s">
        <v>331</v>
      </c>
      <c r="B863" t="s">
        <v>8</v>
      </c>
      <c r="C863" t="s">
        <v>723</v>
      </c>
      <c r="D863" t="s">
        <v>1552</v>
      </c>
      <c r="E863" t="s">
        <v>660</v>
      </c>
      <c r="F863" t="s">
        <v>2809</v>
      </c>
      <c r="G863" t="s">
        <v>2037</v>
      </c>
      <c r="H863" t="s">
        <v>2038</v>
      </c>
    </row>
    <row r="864" spans="1:8" x14ac:dyDescent="0.25">
      <c r="A864" t="s">
        <v>331</v>
      </c>
      <c r="B864" t="s">
        <v>39</v>
      </c>
      <c r="C864" t="s">
        <v>725</v>
      </c>
      <c r="D864" t="s">
        <v>1553</v>
      </c>
      <c r="E864" t="s">
        <v>39</v>
      </c>
      <c r="F864" t="s">
        <v>2810</v>
      </c>
      <c r="G864" t="s">
        <v>2037</v>
      </c>
      <c r="H864" t="s">
        <v>2038</v>
      </c>
    </row>
    <row r="865" spans="1:8" x14ac:dyDescent="0.25">
      <c r="A865" t="s">
        <v>331</v>
      </c>
      <c r="B865" t="s">
        <v>40</v>
      </c>
      <c r="C865" t="s">
        <v>728</v>
      </c>
      <c r="D865" t="s">
        <v>1554</v>
      </c>
      <c r="E865" t="s">
        <v>687</v>
      </c>
      <c r="F865" t="s">
        <v>2811</v>
      </c>
      <c r="G865" t="s">
        <v>2037</v>
      </c>
      <c r="H865" t="s">
        <v>2038</v>
      </c>
    </row>
    <row r="866" spans="1:8" x14ac:dyDescent="0.25">
      <c r="A866" t="s">
        <v>339</v>
      </c>
      <c r="B866" t="s">
        <v>3</v>
      </c>
      <c r="C866" t="s">
        <v>633</v>
      </c>
      <c r="D866" t="s">
        <v>1555</v>
      </c>
      <c r="E866" t="s">
        <v>3</v>
      </c>
      <c r="F866" t="s">
        <v>2812</v>
      </c>
      <c r="G866" t="s">
        <v>2037</v>
      </c>
      <c r="H866" t="s">
        <v>2038</v>
      </c>
    </row>
    <row r="867" spans="1:8" x14ac:dyDescent="0.25">
      <c r="A867" t="s">
        <v>339</v>
      </c>
      <c r="B867" t="s">
        <v>27</v>
      </c>
      <c r="C867" t="s">
        <v>688</v>
      </c>
      <c r="D867" t="s">
        <v>1556</v>
      </c>
      <c r="E867" t="s">
        <v>1556</v>
      </c>
      <c r="F867" t="s">
        <v>2813</v>
      </c>
      <c r="G867" t="s">
        <v>2037</v>
      </c>
      <c r="H867" t="s">
        <v>2038</v>
      </c>
    </row>
    <row r="868" spans="1:8" x14ac:dyDescent="0.25">
      <c r="A868" t="s">
        <v>340</v>
      </c>
      <c r="B868" t="s">
        <v>5</v>
      </c>
      <c r="C868" t="s">
        <v>1407</v>
      </c>
      <c r="D868" t="s">
        <v>1557</v>
      </c>
      <c r="E868" t="s">
        <v>638</v>
      </c>
      <c r="F868" t="s">
        <v>2814</v>
      </c>
      <c r="G868" t="s">
        <v>2037</v>
      </c>
      <c r="H868" t="s">
        <v>2038</v>
      </c>
    </row>
    <row r="869" spans="1:8" x14ac:dyDescent="0.25">
      <c r="A869" t="s">
        <v>340</v>
      </c>
      <c r="B869" t="s">
        <v>125</v>
      </c>
      <c r="C869" t="s">
        <v>1409</v>
      </c>
      <c r="D869" t="s">
        <v>1558</v>
      </c>
      <c r="E869" t="s">
        <v>1100</v>
      </c>
      <c r="F869" t="s">
        <v>2815</v>
      </c>
      <c r="G869" t="s">
        <v>2037</v>
      </c>
      <c r="H869" t="s">
        <v>2038</v>
      </c>
    </row>
    <row r="870" spans="1:8" x14ac:dyDescent="0.25">
      <c r="A870" t="s">
        <v>341</v>
      </c>
      <c r="B870" t="s">
        <v>342</v>
      </c>
      <c r="C870" t="s">
        <v>1411</v>
      </c>
      <c r="D870" t="s">
        <v>1559</v>
      </c>
      <c r="E870" t="s">
        <v>342</v>
      </c>
      <c r="F870" t="s">
        <v>2816</v>
      </c>
      <c r="G870" t="s">
        <v>2037</v>
      </c>
      <c r="H870" t="s">
        <v>2038</v>
      </c>
    </row>
    <row r="871" spans="1:8" x14ac:dyDescent="0.25">
      <c r="A871" t="s">
        <v>341</v>
      </c>
      <c r="B871" t="s">
        <v>343</v>
      </c>
      <c r="C871" t="s">
        <v>1413</v>
      </c>
      <c r="D871" t="s">
        <v>1560</v>
      </c>
      <c r="E871" t="s">
        <v>343</v>
      </c>
      <c r="F871" t="s">
        <v>2817</v>
      </c>
      <c r="G871" t="s">
        <v>2037</v>
      </c>
      <c r="H871" t="s">
        <v>2038</v>
      </c>
    </row>
    <row r="872" spans="1:8" x14ac:dyDescent="0.25">
      <c r="A872" t="s">
        <v>340</v>
      </c>
      <c r="B872" t="s">
        <v>8</v>
      </c>
      <c r="C872" t="s">
        <v>643</v>
      </c>
      <c r="D872" t="s">
        <v>1561</v>
      </c>
      <c r="E872" t="s">
        <v>8</v>
      </c>
      <c r="F872" t="s">
        <v>2818</v>
      </c>
      <c r="G872" t="s">
        <v>2037</v>
      </c>
      <c r="H872" t="s">
        <v>2038</v>
      </c>
    </row>
    <row r="873" spans="1:8" x14ac:dyDescent="0.25">
      <c r="A873" t="s">
        <v>340</v>
      </c>
      <c r="B873" t="s">
        <v>9</v>
      </c>
      <c r="C873" t="s">
        <v>646</v>
      </c>
      <c r="F873" t="s">
        <v>2819</v>
      </c>
      <c r="G873" t="s">
        <v>2037</v>
      </c>
      <c r="H873" t="s">
        <v>2038</v>
      </c>
    </row>
    <row r="874" spans="1:8" x14ac:dyDescent="0.25">
      <c r="A874" t="s">
        <v>340</v>
      </c>
      <c r="B874" t="s">
        <v>344</v>
      </c>
      <c r="C874" t="s">
        <v>648</v>
      </c>
      <c r="D874" t="s">
        <v>1562</v>
      </c>
      <c r="E874" t="s">
        <v>344</v>
      </c>
      <c r="F874" t="s">
        <v>2820</v>
      </c>
      <c r="G874" t="s">
        <v>2037</v>
      </c>
      <c r="H874" t="s">
        <v>2038</v>
      </c>
    </row>
    <row r="875" spans="1:8" x14ac:dyDescent="0.25">
      <c r="A875" t="s">
        <v>340</v>
      </c>
      <c r="B875" t="s">
        <v>11</v>
      </c>
      <c r="C875" t="s">
        <v>650</v>
      </c>
      <c r="D875" t="s">
        <v>1563</v>
      </c>
      <c r="E875" t="s">
        <v>652</v>
      </c>
      <c r="F875" t="s">
        <v>2821</v>
      </c>
      <c r="G875" t="s">
        <v>2037</v>
      </c>
      <c r="H875" t="s">
        <v>2038</v>
      </c>
    </row>
    <row r="876" spans="1:8" x14ac:dyDescent="0.25">
      <c r="A876" t="s">
        <v>341</v>
      </c>
      <c r="B876" t="s">
        <v>12</v>
      </c>
      <c r="C876" t="s">
        <v>653</v>
      </c>
      <c r="D876" t="s">
        <v>1564</v>
      </c>
      <c r="E876" t="s">
        <v>655</v>
      </c>
      <c r="F876" t="s">
        <v>2822</v>
      </c>
      <c r="G876" t="s">
        <v>2037</v>
      </c>
      <c r="H876" t="s">
        <v>2038</v>
      </c>
    </row>
    <row r="877" spans="1:8" x14ac:dyDescent="0.25">
      <c r="A877" t="s">
        <v>340</v>
      </c>
      <c r="B877" t="s">
        <v>345</v>
      </c>
      <c r="C877" t="s">
        <v>1419</v>
      </c>
      <c r="D877" t="s">
        <v>1565</v>
      </c>
      <c r="E877" t="s">
        <v>345</v>
      </c>
      <c r="F877" t="s">
        <v>2823</v>
      </c>
      <c r="G877" t="s">
        <v>2037</v>
      </c>
      <c r="H877" t="s">
        <v>2038</v>
      </c>
    </row>
    <row r="878" spans="1:8" x14ac:dyDescent="0.25">
      <c r="A878" t="s">
        <v>341</v>
      </c>
      <c r="B878" t="s">
        <v>8</v>
      </c>
      <c r="C878" t="s">
        <v>1433</v>
      </c>
      <c r="D878" t="s">
        <v>1566</v>
      </c>
      <c r="E878" t="s">
        <v>8</v>
      </c>
      <c r="F878" t="s">
        <v>2824</v>
      </c>
      <c r="G878" t="s">
        <v>2037</v>
      </c>
      <c r="H878" t="s">
        <v>2038</v>
      </c>
    </row>
    <row r="879" spans="1:8" x14ac:dyDescent="0.25">
      <c r="A879" t="s">
        <v>340</v>
      </c>
      <c r="B879" t="s">
        <v>14</v>
      </c>
      <c r="C879" t="s">
        <v>1112</v>
      </c>
      <c r="D879" t="s">
        <v>1567</v>
      </c>
      <c r="E879" t="s">
        <v>1423</v>
      </c>
      <c r="F879" t="s">
        <v>2825</v>
      </c>
      <c r="G879" t="s">
        <v>2037</v>
      </c>
      <c r="H879" t="s">
        <v>2038</v>
      </c>
    </row>
    <row r="880" spans="1:8" x14ac:dyDescent="0.25">
      <c r="D880" t="s">
        <v>1568</v>
      </c>
      <c r="E880" t="s">
        <v>1569</v>
      </c>
      <c r="F880" t="s">
        <v>2079</v>
      </c>
    </row>
    <row r="881" spans="1:8" x14ac:dyDescent="0.25">
      <c r="D881" t="s">
        <v>1570</v>
      </c>
      <c r="E881" t="s">
        <v>1571</v>
      </c>
      <c r="F881" t="s">
        <v>2079</v>
      </c>
    </row>
    <row r="882" spans="1:8" x14ac:dyDescent="0.25">
      <c r="D882" t="s">
        <v>1572</v>
      </c>
      <c r="E882" t="s">
        <v>1573</v>
      </c>
      <c r="F882" t="s">
        <v>2079</v>
      </c>
    </row>
    <row r="883" spans="1:8" x14ac:dyDescent="0.25">
      <c r="A883" t="s">
        <v>341</v>
      </c>
      <c r="B883" t="s">
        <v>16</v>
      </c>
      <c r="C883" t="s">
        <v>664</v>
      </c>
      <c r="D883" t="s">
        <v>1574</v>
      </c>
      <c r="E883" t="s">
        <v>16</v>
      </c>
      <c r="F883" t="s">
        <v>2826</v>
      </c>
      <c r="G883" t="s">
        <v>2037</v>
      </c>
      <c r="H883" t="s">
        <v>2038</v>
      </c>
    </row>
    <row r="884" spans="1:8" x14ac:dyDescent="0.25">
      <c r="A884" t="s">
        <v>341</v>
      </c>
      <c r="B884" t="s">
        <v>17</v>
      </c>
      <c r="C884" t="s">
        <v>666</v>
      </c>
      <c r="D884" t="s">
        <v>1575</v>
      </c>
      <c r="E884" t="s">
        <v>17</v>
      </c>
      <c r="F884" t="s">
        <v>2827</v>
      </c>
      <c r="G884" t="s">
        <v>2037</v>
      </c>
      <c r="H884" t="s">
        <v>2038</v>
      </c>
    </row>
    <row r="885" spans="1:8" x14ac:dyDescent="0.25">
      <c r="A885" t="s">
        <v>341</v>
      </c>
      <c r="B885" t="s">
        <v>346</v>
      </c>
      <c r="C885" t="s">
        <v>668</v>
      </c>
      <c r="D885" t="s">
        <v>1576</v>
      </c>
      <c r="E885" t="s">
        <v>670</v>
      </c>
      <c r="F885" t="s">
        <v>2828</v>
      </c>
      <c r="G885" t="s">
        <v>2037</v>
      </c>
      <c r="H885" t="s">
        <v>2038</v>
      </c>
    </row>
    <row r="886" spans="1:8" x14ac:dyDescent="0.25">
      <c r="A886" t="s">
        <v>341</v>
      </c>
      <c r="B886" t="s">
        <v>8</v>
      </c>
      <c r="C886" t="s">
        <v>8</v>
      </c>
      <c r="D886" t="s">
        <v>1577</v>
      </c>
      <c r="E886" t="s">
        <v>8</v>
      </c>
      <c r="F886" t="s">
        <v>2829</v>
      </c>
      <c r="G886" t="s">
        <v>2037</v>
      </c>
      <c r="H886" t="s">
        <v>2038</v>
      </c>
    </row>
    <row r="887" spans="1:8" x14ac:dyDescent="0.25">
      <c r="A887" t="s">
        <v>341</v>
      </c>
      <c r="B887" t="s">
        <v>347</v>
      </c>
      <c r="C887" t="s">
        <v>1435</v>
      </c>
      <c r="D887" t="s">
        <v>1578</v>
      </c>
      <c r="E887" t="s">
        <v>347</v>
      </c>
      <c r="F887" t="s">
        <v>2830</v>
      </c>
      <c r="G887" t="s">
        <v>2037</v>
      </c>
      <c r="H887" t="s">
        <v>2038</v>
      </c>
    </row>
    <row r="888" spans="1:8" x14ac:dyDescent="0.25">
      <c r="A888" t="s">
        <v>341</v>
      </c>
      <c r="B888" t="s">
        <v>348</v>
      </c>
      <c r="C888" t="s">
        <v>1437</v>
      </c>
      <c r="D888" t="s">
        <v>1579</v>
      </c>
      <c r="E888" t="s">
        <v>348</v>
      </c>
      <c r="F888" t="s">
        <v>2831</v>
      </c>
      <c r="G888" t="s">
        <v>2037</v>
      </c>
      <c r="H888" t="s">
        <v>2038</v>
      </c>
    </row>
    <row r="889" spans="1:8" x14ac:dyDescent="0.25">
      <c r="A889" t="s">
        <v>341</v>
      </c>
      <c r="B889" t="s">
        <v>349</v>
      </c>
      <c r="C889" t="s">
        <v>1439</v>
      </c>
      <c r="D889" t="s">
        <v>1580</v>
      </c>
      <c r="E889" t="s">
        <v>349</v>
      </c>
      <c r="F889" t="s">
        <v>2832</v>
      </c>
      <c r="G889" t="s">
        <v>2037</v>
      </c>
      <c r="H889" t="s">
        <v>2038</v>
      </c>
    </row>
    <row r="890" spans="1:8" x14ac:dyDescent="0.25">
      <c r="A890" t="s">
        <v>341</v>
      </c>
      <c r="B890" t="s">
        <v>350</v>
      </c>
      <c r="C890" t="s">
        <v>1441</v>
      </c>
      <c r="D890" t="s">
        <v>1581</v>
      </c>
      <c r="E890" t="s">
        <v>350</v>
      </c>
      <c r="F890" t="s">
        <v>2833</v>
      </c>
      <c r="G890" t="s">
        <v>2037</v>
      </c>
      <c r="H890" t="s">
        <v>2038</v>
      </c>
    </row>
    <row r="891" spans="1:8" x14ac:dyDescent="0.25">
      <c r="A891" t="s">
        <v>341</v>
      </c>
      <c r="B891" t="s">
        <v>351</v>
      </c>
      <c r="C891" t="s">
        <v>671</v>
      </c>
      <c r="D891" t="s">
        <v>1582</v>
      </c>
      <c r="E891" t="s">
        <v>351</v>
      </c>
      <c r="F891" t="s">
        <v>2834</v>
      </c>
      <c r="G891" t="s">
        <v>2037</v>
      </c>
      <c r="H891" t="s">
        <v>2038</v>
      </c>
    </row>
    <row r="892" spans="1:8" x14ac:dyDescent="0.25">
      <c r="A892" t="s">
        <v>341</v>
      </c>
      <c r="B892" t="s">
        <v>8</v>
      </c>
      <c r="C892" t="s">
        <v>671</v>
      </c>
      <c r="D892" t="s">
        <v>1583</v>
      </c>
      <c r="E892" t="s">
        <v>1584</v>
      </c>
      <c r="F892" t="s">
        <v>2835</v>
      </c>
      <c r="G892" t="s">
        <v>2037</v>
      </c>
      <c r="H892" t="s">
        <v>2038</v>
      </c>
    </row>
    <row r="893" spans="1:8" x14ac:dyDescent="0.25">
      <c r="A893" t="s">
        <v>341</v>
      </c>
      <c r="B893" t="s">
        <v>352</v>
      </c>
      <c r="C893" t="s">
        <v>1445</v>
      </c>
      <c r="D893" t="s">
        <v>1585</v>
      </c>
      <c r="E893" t="s">
        <v>352</v>
      </c>
      <c r="F893" t="s">
        <v>2836</v>
      </c>
      <c r="G893" t="s">
        <v>2037</v>
      </c>
      <c r="H893" t="s">
        <v>2038</v>
      </c>
    </row>
    <row r="894" spans="1:8" x14ac:dyDescent="0.25">
      <c r="A894" t="s">
        <v>341</v>
      </c>
      <c r="B894" t="s">
        <v>26</v>
      </c>
      <c r="C894" t="s">
        <v>1135</v>
      </c>
      <c r="D894" t="s">
        <v>1586</v>
      </c>
      <c r="E894" t="s">
        <v>687</v>
      </c>
      <c r="F894" t="s">
        <v>2837</v>
      </c>
      <c r="G894" t="s">
        <v>2037</v>
      </c>
      <c r="H894" t="s">
        <v>2038</v>
      </c>
    </row>
    <row r="895" spans="1:8" x14ac:dyDescent="0.25">
      <c r="A895" t="s">
        <v>340</v>
      </c>
      <c r="B895" t="s">
        <v>28</v>
      </c>
      <c r="C895" t="s">
        <v>690</v>
      </c>
      <c r="F895" t="s">
        <v>2838</v>
      </c>
      <c r="G895" t="s">
        <v>2037</v>
      </c>
      <c r="H895" t="s">
        <v>2038</v>
      </c>
    </row>
    <row r="896" spans="1:8" x14ac:dyDescent="0.25">
      <c r="A896" t="s">
        <v>340</v>
      </c>
      <c r="B896" t="s">
        <v>29</v>
      </c>
      <c r="C896" t="s">
        <v>693</v>
      </c>
      <c r="F896" t="s">
        <v>2839</v>
      </c>
      <c r="G896" t="s">
        <v>2037</v>
      </c>
      <c r="H896" t="s">
        <v>2038</v>
      </c>
    </row>
    <row r="897" spans="1:8" x14ac:dyDescent="0.25">
      <c r="A897" t="s">
        <v>353</v>
      </c>
      <c r="B897" t="s">
        <v>31</v>
      </c>
      <c r="C897" t="s">
        <v>694</v>
      </c>
      <c r="D897" t="s">
        <v>1587</v>
      </c>
      <c r="E897" t="s">
        <v>31</v>
      </c>
      <c r="F897" t="s">
        <v>2840</v>
      </c>
      <c r="G897" t="s">
        <v>2037</v>
      </c>
      <c r="H897" t="s">
        <v>2038</v>
      </c>
    </row>
    <row r="898" spans="1:8" x14ac:dyDescent="0.25">
      <c r="A898" t="s">
        <v>353</v>
      </c>
      <c r="B898" t="s">
        <v>17</v>
      </c>
      <c r="C898" t="s">
        <v>1449</v>
      </c>
      <c r="D898" t="s">
        <v>1588</v>
      </c>
      <c r="E898" t="s">
        <v>17</v>
      </c>
      <c r="F898" t="s">
        <v>2841</v>
      </c>
      <c r="G898" t="s">
        <v>2037</v>
      </c>
      <c r="H898" t="s">
        <v>2038</v>
      </c>
    </row>
    <row r="899" spans="1:8" x14ac:dyDescent="0.25">
      <c r="A899" t="s">
        <v>353</v>
      </c>
      <c r="B899" t="s">
        <v>16</v>
      </c>
      <c r="C899" t="s">
        <v>1451</v>
      </c>
      <c r="D899" t="s">
        <v>1589</v>
      </c>
      <c r="E899" t="s">
        <v>16</v>
      </c>
      <c r="F899" t="s">
        <v>2842</v>
      </c>
      <c r="G899" t="s">
        <v>2037</v>
      </c>
      <c r="H899" t="s">
        <v>2038</v>
      </c>
    </row>
    <row r="900" spans="1:8" x14ac:dyDescent="0.25">
      <c r="A900" t="s">
        <v>353</v>
      </c>
      <c r="B900" t="s">
        <v>354</v>
      </c>
      <c r="C900" t="s">
        <v>700</v>
      </c>
      <c r="D900" t="s">
        <v>1590</v>
      </c>
      <c r="E900" t="s">
        <v>702</v>
      </c>
      <c r="F900" t="s">
        <v>2843</v>
      </c>
      <c r="G900" t="s">
        <v>2037</v>
      </c>
      <c r="H900" t="s">
        <v>2038</v>
      </c>
    </row>
    <row r="901" spans="1:8" x14ac:dyDescent="0.25">
      <c r="A901" t="s">
        <v>353</v>
      </c>
      <c r="B901" t="s">
        <v>355</v>
      </c>
      <c r="C901" t="s">
        <v>703</v>
      </c>
      <c r="D901" t="s">
        <v>1591</v>
      </c>
      <c r="E901" t="s">
        <v>705</v>
      </c>
      <c r="F901" t="s">
        <v>2844</v>
      </c>
      <c r="G901" t="s">
        <v>2037</v>
      </c>
      <c r="H901" t="s">
        <v>2038</v>
      </c>
    </row>
    <row r="902" spans="1:8" x14ac:dyDescent="0.25">
      <c r="A902" t="s">
        <v>353</v>
      </c>
      <c r="B902" t="s">
        <v>356</v>
      </c>
      <c r="C902" t="s">
        <v>706</v>
      </c>
      <c r="D902" t="s">
        <v>1592</v>
      </c>
      <c r="E902" t="s">
        <v>708</v>
      </c>
      <c r="F902" t="s">
        <v>2845</v>
      </c>
      <c r="G902" t="s">
        <v>2037</v>
      </c>
      <c r="H902" t="s">
        <v>2038</v>
      </c>
    </row>
    <row r="903" spans="1:8" x14ac:dyDescent="0.25">
      <c r="A903" t="s">
        <v>353</v>
      </c>
      <c r="B903" t="s">
        <v>357</v>
      </c>
      <c r="C903" t="s">
        <v>709</v>
      </c>
      <c r="D903" t="s">
        <v>1593</v>
      </c>
      <c r="E903" t="s">
        <v>711</v>
      </c>
      <c r="F903" t="s">
        <v>2846</v>
      </c>
      <c r="G903" t="s">
        <v>2037</v>
      </c>
      <c r="H903" t="s">
        <v>2038</v>
      </c>
    </row>
    <row r="904" spans="1:8" x14ac:dyDescent="0.25">
      <c r="A904" t="s">
        <v>353</v>
      </c>
      <c r="B904" t="s">
        <v>358</v>
      </c>
      <c r="C904" t="s">
        <v>712</v>
      </c>
      <c r="D904" t="s">
        <v>1594</v>
      </c>
      <c r="E904" t="s">
        <v>714</v>
      </c>
      <c r="F904" t="s">
        <v>2847</v>
      </c>
      <c r="G904" t="s">
        <v>2037</v>
      </c>
      <c r="H904" t="s">
        <v>2038</v>
      </c>
    </row>
    <row r="905" spans="1:8" x14ac:dyDescent="0.25">
      <c r="A905" t="s">
        <v>353</v>
      </c>
      <c r="B905" t="s">
        <v>359</v>
      </c>
      <c r="C905" t="s">
        <v>715</v>
      </c>
      <c r="D905" t="s">
        <v>1595</v>
      </c>
      <c r="E905" t="s">
        <v>717</v>
      </c>
      <c r="F905" t="s">
        <v>2848</v>
      </c>
      <c r="G905" t="s">
        <v>2037</v>
      </c>
      <c r="H905" t="s">
        <v>2038</v>
      </c>
    </row>
    <row r="906" spans="1:8" x14ac:dyDescent="0.25">
      <c r="A906" t="s">
        <v>353</v>
      </c>
      <c r="B906" t="s">
        <v>360</v>
      </c>
      <c r="C906" t="s">
        <v>718</v>
      </c>
      <c r="D906" t="s">
        <v>1596</v>
      </c>
      <c r="E906" t="s">
        <v>720</v>
      </c>
      <c r="F906" t="s">
        <v>2849</v>
      </c>
      <c r="G906" t="s">
        <v>2037</v>
      </c>
      <c r="H906" t="s">
        <v>2038</v>
      </c>
    </row>
    <row r="907" spans="1:8" x14ac:dyDescent="0.25">
      <c r="A907" t="s">
        <v>353</v>
      </c>
      <c r="B907" t="s">
        <v>8</v>
      </c>
      <c r="C907" t="s">
        <v>721</v>
      </c>
      <c r="D907" t="s">
        <v>1597</v>
      </c>
      <c r="E907" t="s">
        <v>645</v>
      </c>
      <c r="F907" t="s">
        <v>2850</v>
      </c>
      <c r="G907" t="s">
        <v>2037</v>
      </c>
      <c r="H907" t="s">
        <v>2038</v>
      </c>
    </row>
    <row r="908" spans="1:8" x14ac:dyDescent="0.25">
      <c r="A908" t="s">
        <v>353</v>
      </c>
      <c r="B908" t="s">
        <v>8</v>
      </c>
      <c r="C908" t="s">
        <v>723</v>
      </c>
      <c r="D908" t="s">
        <v>1598</v>
      </c>
      <c r="E908" t="s">
        <v>660</v>
      </c>
      <c r="F908" t="s">
        <v>2851</v>
      </c>
      <c r="G908" t="s">
        <v>2037</v>
      </c>
      <c r="H908" t="s">
        <v>2038</v>
      </c>
    </row>
    <row r="909" spans="1:8" x14ac:dyDescent="0.25">
      <c r="A909" t="s">
        <v>353</v>
      </c>
      <c r="B909" t="s">
        <v>39</v>
      </c>
      <c r="C909" t="s">
        <v>725</v>
      </c>
      <c r="D909" t="s">
        <v>1599</v>
      </c>
      <c r="E909" t="s">
        <v>39</v>
      </c>
      <c r="F909" t="s">
        <v>2852</v>
      </c>
      <c r="G909" t="s">
        <v>2037</v>
      </c>
      <c r="H909" t="s">
        <v>2038</v>
      </c>
    </row>
    <row r="910" spans="1:8" x14ac:dyDescent="0.25">
      <c r="A910" t="s">
        <v>353</v>
      </c>
      <c r="B910" t="s">
        <v>40</v>
      </c>
      <c r="C910" t="s">
        <v>728</v>
      </c>
      <c r="D910" t="s">
        <v>1600</v>
      </c>
      <c r="E910" t="s">
        <v>687</v>
      </c>
      <c r="F910" t="s">
        <v>2853</v>
      </c>
      <c r="G910" t="s">
        <v>2037</v>
      </c>
      <c r="H910" t="s">
        <v>2038</v>
      </c>
    </row>
    <row r="911" spans="1:8" x14ac:dyDescent="0.25">
      <c r="A911" t="s">
        <v>361</v>
      </c>
      <c r="B911" t="s">
        <v>3</v>
      </c>
      <c r="C911" t="s">
        <v>633</v>
      </c>
      <c r="D911" t="s">
        <v>1601</v>
      </c>
      <c r="E911" t="s">
        <v>3</v>
      </c>
      <c r="F911" t="s">
        <v>2854</v>
      </c>
      <c r="G911" t="s">
        <v>2037</v>
      </c>
      <c r="H911" t="s">
        <v>2038</v>
      </c>
    </row>
    <row r="912" spans="1:8" x14ac:dyDescent="0.25">
      <c r="A912" t="s">
        <v>361</v>
      </c>
      <c r="B912" t="s">
        <v>27</v>
      </c>
      <c r="C912" t="s">
        <v>688</v>
      </c>
      <c r="D912" t="s">
        <v>1602</v>
      </c>
      <c r="E912" t="s">
        <v>1602</v>
      </c>
      <c r="F912" t="s">
        <v>2855</v>
      </c>
      <c r="G912" t="s">
        <v>2037</v>
      </c>
      <c r="H912" t="s">
        <v>2038</v>
      </c>
    </row>
    <row r="913" spans="1:8" x14ac:dyDescent="0.25">
      <c r="A913" t="s">
        <v>362</v>
      </c>
      <c r="B913" t="s">
        <v>5</v>
      </c>
      <c r="C913" t="s">
        <v>1407</v>
      </c>
      <c r="D913" t="s">
        <v>1603</v>
      </c>
      <c r="E913" t="s">
        <v>638</v>
      </c>
      <c r="F913" t="s">
        <v>2856</v>
      </c>
      <c r="G913" t="s">
        <v>2037</v>
      </c>
      <c r="H913" t="s">
        <v>2038</v>
      </c>
    </row>
    <row r="914" spans="1:8" x14ac:dyDescent="0.25">
      <c r="A914" t="s">
        <v>362</v>
      </c>
      <c r="B914" t="s">
        <v>125</v>
      </c>
      <c r="C914" t="s">
        <v>1409</v>
      </c>
      <c r="D914" t="s">
        <v>1604</v>
      </c>
      <c r="E914" t="s">
        <v>1100</v>
      </c>
      <c r="F914" t="s">
        <v>2857</v>
      </c>
      <c r="G914" t="s">
        <v>2037</v>
      </c>
      <c r="H914" t="s">
        <v>2038</v>
      </c>
    </row>
    <row r="915" spans="1:8" x14ac:dyDescent="0.25">
      <c r="A915" t="s">
        <v>363</v>
      </c>
      <c r="B915" t="s">
        <v>364</v>
      </c>
      <c r="C915" t="s">
        <v>1411</v>
      </c>
      <c r="D915" t="s">
        <v>1605</v>
      </c>
      <c r="E915" t="s">
        <v>364</v>
      </c>
      <c r="F915" t="s">
        <v>2858</v>
      </c>
      <c r="G915" t="s">
        <v>2037</v>
      </c>
      <c r="H915" t="s">
        <v>2038</v>
      </c>
    </row>
    <row r="916" spans="1:8" x14ac:dyDescent="0.25">
      <c r="A916" t="s">
        <v>363</v>
      </c>
      <c r="B916" t="s">
        <v>365</v>
      </c>
      <c r="C916" t="s">
        <v>1413</v>
      </c>
      <c r="D916" t="s">
        <v>1606</v>
      </c>
      <c r="E916" t="s">
        <v>365</v>
      </c>
      <c r="F916" t="s">
        <v>2859</v>
      </c>
      <c r="G916" t="s">
        <v>2037</v>
      </c>
      <c r="H916" t="s">
        <v>2038</v>
      </c>
    </row>
    <row r="917" spans="1:8" x14ac:dyDescent="0.25">
      <c r="A917" t="s">
        <v>362</v>
      </c>
      <c r="B917" t="s">
        <v>8</v>
      </c>
      <c r="C917" t="s">
        <v>643</v>
      </c>
      <c r="D917" t="s">
        <v>1607</v>
      </c>
      <c r="E917" t="s">
        <v>8</v>
      </c>
      <c r="F917" t="s">
        <v>2860</v>
      </c>
      <c r="G917" t="s">
        <v>2037</v>
      </c>
      <c r="H917" t="s">
        <v>2038</v>
      </c>
    </row>
    <row r="918" spans="1:8" x14ac:dyDescent="0.25">
      <c r="A918" t="s">
        <v>362</v>
      </c>
      <c r="B918" t="s">
        <v>9</v>
      </c>
      <c r="C918" t="s">
        <v>646</v>
      </c>
      <c r="D918" t="s">
        <v>647</v>
      </c>
      <c r="E918" t="s">
        <v>647</v>
      </c>
      <c r="F918" t="s">
        <v>2861</v>
      </c>
      <c r="G918" t="s">
        <v>2037</v>
      </c>
      <c r="H918" t="s">
        <v>2038</v>
      </c>
    </row>
    <row r="919" spans="1:8" x14ac:dyDescent="0.25">
      <c r="A919" t="s">
        <v>362</v>
      </c>
      <c r="B919" t="s">
        <v>366</v>
      </c>
      <c r="C919" t="s">
        <v>648</v>
      </c>
      <c r="D919" t="s">
        <v>1608</v>
      </c>
      <c r="E919" t="s">
        <v>366</v>
      </c>
      <c r="F919" t="s">
        <v>2862</v>
      </c>
      <c r="G919" t="s">
        <v>2037</v>
      </c>
      <c r="H919" t="s">
        <v>2038</v>
      </c>
    </row>
    <row r="920" spans="1:8" x14ac:dyDescent="0.25">
      <c r="A920" t="s">
        <v>362</v>
      </c>
      <c r="B920" t="s">
        <v>11</v>
      </c>
      <c r="C920" t="s">
        <v>650</v>
      </c>
      <c r="D920" t="s">
        <v>1609</v>
      </c>
      <c r="E920" t="s">
        <v>652</v>
      </c>
      <c r="F920" t="s">
        <v>2863</v>
      </c>
      <c r="G920" t="s">
        <v>2037</v>
      </c>
      <c r="H920" t="s">
        <v>2038</v>
      </c>
    </row>
    <row r="921" spans="1:8" x14ac:dyDescent="0.25">
      <c r="A921" t="s">
        <v>363</v>
      </c>
      <c r="B921" t="s">
        <v>12</v>
      </c>
      <c r="C921" t="s">
        <v>653</v>
      </c>
      <c r="D921" t="s">
        <v>1610</v>
      </c>
      <c r="E921" t="s">
        <v>655</v>
      </c>
      <c r="F921" t="s">
        <v>2864</v>
      </c>
      <c r="G921" t="s">
        <v>2037</v>
      </c>
      <c r="H921" t="s">
        <v>2038</v>
      </c>
    </row>
    <row r="922" spans="1:8" x14ac:dyDescent="0.25">
      <c r="A922" t="s">
        <v>362</v>
      </c>
      <c r="B922" t="s">
        <v>367</v>
      </c>
      <c r="C922" t="s">
        <v>1419</v>
      </c>
      <c r="D922" t="s">
        <v>1611</v>
      </c>
      <c r="E922" t="s">
        <v>367</v>
      </c>
      <c r="F922" t="s">
        <v>2865</v>
      </c>
      <c r="G922" t="s">
        <v>2037</v>
      </c>
      <c r="H922" t="s">
        <v>2038</v>
      </c>
    </row>
    <row r="923" spans="1:8" x14ac:dyDescent="0.25">
      <c r="A923" t="s">
        <v>363</v>
      </c>
      <c r="B923" t="s">
        <v>8</v>
      </c>
      <c r="C923" t="s">
        <v>1433</v>
      </c>
      <c r="D923" t="s">
        <v>1612</v>
      </c>
      <c r="E923" t="s">
        <v>8</v>
      </c>
      <c r="F923" t="s">
        <v>2866</v>
      </c>
      <c r="G923" t="s">
        <v>2037</v>
      </c>
      <c r="H923" t="s">
        <v>2038</v>
      </c>
    </row>
    <row r="924" spans="1:8" x14ac:dyDescent="0.25">
      <c r="A924" t="s">
        <v>362</v>
      </c>
      <c r="B924" t="s">
        <v>14</v>
      </c>
      <c r="C924" t="s">
        <v>1112</v>
      </c>
      <c r="D924" t="s">
        <v>1613</v>
      </c>
      <c r="E924" t="s">
        <v>1423</v>
      </c>
      <c r="F924" t="s">
        <v>2867</v>
      </c>
      <c r="G924" t="s">
        <v>2037</v>
      </c>
      <c r="H924" t="s">
        <v>2038</v>
      </c>
    </row>
    <row r="925" spans="1:8" x14ac:dyDescent="0.25">
      <c r="D925" t="s">
        <v>1614</v>
      </c>
      <c r="E925" t="s">
        <v>1615</v>
      </c>
      <c r="F925" t="s">
        <v>2079</v>
      </c>
    </row>
    <row r="926" spans="1:8" x14ac:dyDescent="0.25">
      <c r="D926" t="s">
        <v>1616</v>
      </c>
      <c r="E926" t="s">
        <v>1617</v>
      </c>
      <c r="F926" t="s">
        <v>2079</v>
      </c>
    </row>
    <row r="927" spans="1:8" x14ac:dyDescent="0.25">
      <c r="D927" t="s">
        <v>1618</v>
      </c>
      <c r="E927" t="s">
        <v>1619</v>
      </c>
      <c r="F927" t="s">
        <v>2079</v>
      </c>
    </row>
    <row r="928" spans="1:8" x14ac:dyDescent="0.25">
      <c r="A928" t="s">
        <v>363</v>
      </c>
      <c r="B928" t="s">
        <v>16</v>
      </c>
      <c r="C928" t="s">
        <v>664</v>
      </c>
      <c r="D928" t="s">
        <v>1620</v>
      </c>
      <c r="E928" t="s">
        <v>16</v>
      </c>
      <c r="F928" t="s">
        <v>2868</v>
      </c>
      <c r="G928" t="s">
        <v>2037</v>
      </c>
      <c r="H928" t="s">
        <v>2038</v>
      </c>
    </row>
    <row r="929" spans="1:8" x14ac:dyDescent="0.25">
      <c r="A929" t="s">
        <v>363</v>
      </c>
      <c r="B929" t="s">
        <v>17</v>
      </c>
      <c r="C929" t="s">
        <v>666</v>
      </c>
      <c r="D929" t="s">
        <v>1621</v>
      </c>
      <c r="E929" t="s">
        <v>17</v>
      </c>
      <c r="F929" t="s">
        <v>2869</v>
      </c>
      <c r="G929" t="s">
        <v>2037</v>
      </c>
      <c r="H929" t="s">
        <v>2038</v>
      </c>
    </row>
    <row r="930" spans="1:8" x14ac:dyDescent="0.25">
      <c r="A930" t="s">
        <v>363</v>
      </c>
      <c r="B930" t="s">
        <v>368</v>
      </c>
      <c r="C930" t="s">
        <v>668</v>
      </c>
      <c r="D930" t="s">
        <v>1622</v>
      </c>
      <c r="E930" t="s">
        <v>670</v>
      </c>
      <c r="F930" t="s">
        <v>2870</v>
      </c>
      <c r="G930" t="s">
        <v>2037</v>
      </c>
      <c r="H930" t="s">
        <v>2038</v>
      </c>
    </row>
    <row r="931" spans="1:8" x14ac:dyDescent="0.25">
      <c r="A931" t="s">
        <v>363</v>
      </c>
      <c r="B931" t="s">
        <v>8</v>
      </c>
      <c r="C931" t="s">
        <v>8</v>
      </c>
      <c r="D931" t="s">
        <v>1623</v>
      </c>
      <c r="E931" t="s">
        <v>8</v>
      </c>
      <c r="F931" t="s">
        <v>2871</v>
      </c>
      <c r="G931" t="s">
        <v>2037</v>
      </c>
      <c r="H931" t="s">
        <v>2038</v>
      </c>
    </row>
    <row r="932" spans="1:8" x14ac:dyDescent="0.25">
      <c r="A932" t="s">
        <v>363</v>
      </c>
      <c r="B932" t="s">
        <v>369</v>
      </c>
      <c r="C932" t="s">
        <v>1435</v>
      </c>
      <c r="D932" t="s">
        <v>1624</v>
      </c>
      <c r="E932" t="s">
        <v>369</v>
      </c>
      <c r="F932" t="s">
        <v>2872</v>
      </c>
      <c r="G932" t="s">
        <v>2037</v>
      </c>
      <c r="H932" t="s">
        <v>2038</v>
      </c>
    </row>
    <row r="933" spans="1:8" x14ac:dyDescent="0.25">
      <c r="A933" t="s">
        <v>363</v>
      </c>
      <c r="B933" t="s">
        <v>370</v>
      </c>
      <c r="C933" t="s">
        <v>1437</v>
      </c>
      <c r="D933" t="s">
        <v>1625</v>
      </c>
      <c r="E933" t="s">
        <v>370</v>
      </c>
      <c r="F933" t="s">
        <v>2873</v>
      </c>
      <c r="G933" t="s">
        <v>2037</v>
      </c>
      <c r="H933" t="s">
        <v>2038</v>
      </c>
    </row>
    <row r="934" spans="1:8" x14ac:dyDescent="0.25">
      <c r="A934" t="s">
        <v>363</v>
      </c>
      <c r="B934" t="s">
        <v>371</v>
      </c>
      <c r="C934" t="s">
        <v>1439</v>
      </c>
      <c r="D934" t="s">
        <v>1626</v>
      </c>
      <c r="E934" t="s">
        <v>371</v>
      </c>
      <c r="F934" t="s">
        <v>2874</v>
      </c>
      <c r="G934" t="s">
        <v>2037</v>
      </c>
      <c r="H934" t="s">
        <v>2038</v>
      </c>
    </row>
    <row r="935" spans="1:8" x14ac:dyDescent="0.25">
      <c r="A935" t="s">
        <v>363</v>
      </c>
      <c r="B935" t="s">
        <v>372</v>
      </c>
      <c r="C935" t="s">
        <v>1441</v>
      </c>
      <c r="D935" t="s">
        <v>1627</v>
      </c>
      <c r="E935" t="s">
        <v>372</v>
      </c>
      <c r="F935" t="s">
        <v>2875</v>
      </c>
      <c r="G935" t="s">
        <v>2037</v>
      </c>
      <c r="H935" t="s">
        <v>2038</v>
      </c>
    </row>
    <row r="936" spans="1:8" x14ac:dyDescent="0.25">
      <c r="A936" t="s">
        <v>363</v>
      </c>
      <c r="B936" t="s">
        <v>373</v>
      </c>
      <c r="C936" t="s">
        <v>671</v>
      </c>
      <c r="D936" t="s">
        <v>1628</v>
      </c>
      <c r="E936" t="s">
        <v>373</v>
      </c>
      <c r="F936" t="s">
        <v>2876</v>
      </c>
      <c r="G936" t="s">
        <v>2037</v>
      </c>
      <c r="H936" t="s">
        <v>2038</v>
      </c>
    </row>
    <row r="937" spans="1:8" x14ac:dyDescent="0.25">
      <c r="A937" t="s">
        <v>363</v>
      </c>
      <c r="B937" t="s">
        <v>374</v>
      </c>
      <c r="C937" t="s">
        <v>671</v>
      </c>
      <c r="D937" t="s">
        <v>1629</v>
      </c>
      <c r="E937" t="s">
        <v>374</v>
      </c>
      <c r="F937" t="s">
        <v>2877</v>
      </c>
      <c r="G937" t="s">
        <v>2037</v>
      </c>
      <c r="H937" t="s">
        <v>2038</v>
      </c>
    </row>
    <row r="938" spans="1:8" x14ac:dyDescent="0.25">
      <c r="A938" t="s">
        <v>363</v>
      </c>
      <c r="B938" t="s">
        <v>375</v>
      </c>
      <c r="C938" t="s">
        <v>1445</v>
      </c>
      <c r="D938" t="s">
        <v>1630</v>
      </c>
      <c r="E938" t="s">
        <v>375</v>
      </c>
      <c r="F938" t="s">
        <v>2878</v>
      </c>
      <c r="G938" t="s">
        <v>2037</v>
      </c>
      <c r="H938" t="s">
        <v>2038</v>
      </c>
    </row>
    <row r="939" spans="1:8" x14ac:dyDescent="0.25">
      <c r="A939" t="s">
        <v>363</v>
      </c>
      <c r="B939" t="s">
        <v>26</v>
      </c>
      <c r="C939" t="s">
        <v>1135</v>
      </c>
      <c r="D939" t="s">
        <v>1631</v>
      </c>
      <c r="E939" t="s">
        <v>687</v>
      </c>
      <c r="F939" t="s">
        <v>2879</v>
      </c>
      <c r="G939" t="s">
        <v>2037</v>
      </c>
      <c r="H939" t="s">
        <v>2038</v>
      </c>
    </row>
    <row r="940" spans="1:8" x14ac:dyDescent="0.25">
      <c r="A940" t="s">
        <v>362</v>
      </c>
      <c r="B940" t="s">
        <v>28</v>
      </c>
      <c r="C940" t="s">
        <v>690</v>
      </c>
      <c r="F940" t="s">
        <v>2880</v>
      </c>
      <c r="G940" t="s">
        <v>2037</v>
      </c>
      <c r="H940" t="s">
        <v>2038</v>
      </c>
    </row>
    <row r="941" spans="1:8" x14ac:dyDescent="0.25">
      <c r="A941" t="s">
        <v>362</v>
      </c>
      <c r="B941" t="s">
        <v>29</v>
      </c>
      <c r="C941" t="s">
        <v>693</v>
      </c>
      <c r="F941" t="s">
        <v>2881</v>
      </c>
      <c r="G941" t="s">
        <v>2037</v>
      </c>
      <c r="H941" t="s">
        <v>2038</v>
      </c>
    </row>
    <row r="942" spans="1:8" x14ac:dyDescent="0.25">
      <c r="A942" t="s">
        <v>376</v>
      </c>
      <c r="B942" t="s">
        <v>31</v>
      </c>
      <c r="C942" t="s">
        <v>694</v>
      </c>
      <c r="D942" t="s">
        <v>1632</v>
      </c>
      <c r="E942" t="s">
        <v>31</v>
      </c>
      <c r="F942" t="s">
        <v>2882</v>
      </c>
      <c r="G942" t="s">
        <v>2037</v>
      </c>
      <c r="H942" t="s">
        <v>2038</v>
      </c>
    </row>
    <row r="943" spans="1:8" x14ac:dyDescent="0.25">
      <c r="A943" t="s">
        <v>376</v>
      </c>
      <c r="B943" t="s">
        <v>17</v>
      </c>
      <c r="C943" t="s">
        <v>1449</v>
      </c>
      <c r="D943" t="s">
        <v>1633</v>
      </c>
      <c r="E943" t="s">
        <v>17</v>
      </c>
      <c r="F943" t="s">
        <v>2883</v>
      </c>
      <c r="G943" t="s">
        <v>2037</v>
      </c>
      <c r="H943" t="s">
        <v>2038</v>
      </c>
    </row>
    <row r="944" spans="1:8" x14ac:dyDescent="0.25">
      <c r="A944" t="s">
        <v>376</v>
      </c>
      <c r="B944" t="s">
        <v>16</v>
      </c>
      <c r="C944" t="s">
        <v>1451</v>
      </c>
      <c r="D944" t="s">
        <v>1634</v>
      </c>
      <c r="E944" t="s">
        <v>16</v>
      </c>
      <c r="F944" t="s">
        <v>2884</v>
      </c>
      <c r="G944" t="s">
        <v>2037</v>
      </c>
      <c r="H944" t="s">
        <v>2038</v>
      </c>
    </row>
    <row r="945" spans="1:8" x14ac:dyDescent="0.25">
      <c r="A945" t="s">
        <v>376</v>
      </c>
      <c r="B945" t="s">
        <v>377</v>
      </c>
      <c r="C945" t="s">
        <v>700</v>
      </c>
      <c r="D945" t="s">
        <v>1635</v>
      </c>
      <c r="E945" t="s">
        <v>702</v>
      </c>
      <c r="F945" t="s">
        <v>2885</v>
      </c>
      <c r="G945" t="s">
        <v>2037</v>
      </c>
      <c r="H945" t="s">
        <v>2038</v>
      </c>
    </row>
    <row r="946" spans="1:8" x14ac:dyDescent="0.25">
      <c r="A946" t="s">
        <v>376</v>
      </c>
      <c r="B946" t="s">
        <v>378</v>
      </c>
      <c r="C946" t="s">
        <v>703</v>
      </c>
      <c r="D946" t="s">
        <v>1636</v>
      </c>
      <c r="E946" t="s">
        <v>705</v>
      </c>
      <c r="F946" t="s">
        <v>2886</v>
      </c>
      <c r="G946" t="s">
        <v>2037</v>
      </c>
      <c r="H946" t="s">
        <v>2038</v>
      </c>
    </row>
    <row r="947" spans="1:8" x14ac:dyDescent="0.25">
      <c r="A947" t="s">
        <v>376</v>
      </c>
      <c r="B947" t="s">
        <v>379</v>
      </c>
      <c r="C947" t="s">
        <v>706</v>
      </c>
      <c r="D947" t="s">
        <v>1637</v>
      </c>
      <c r="E947" t="s">
        <v>708</v>
      </c>
      <c r="F947" t="s">
        <v>2887</v>
      </c>
      <c r="G947" t="s">
        <v>2037</v>
      </c>
      <c r="H947" t="s">
        <v>2038</v>
      </c>
    </row>
    <row r="948" spans="1:8" x14ac:dyDescent="0.25">
      <c r="A948" t="s">
        <v>376</v>
      </c>
      <c r="B948" t="s">
        <v>380</v>
      </c>
      <c r="C948" t="s">
        <v>709</v>
      </c>
      <c r="D948" t="s">
        <v>1638</v>
      </c>
      <c r="E948" t="s">
        <v>711</v>
      </c>
      <c r="F948" t="s">
        <v>2888</v>
      </c>
      <c r="G948" t="s">
        <v>2037</v>
      </c>
      <c r="H948" t="s">
        <v>2038</v>
      </c>
    </row>
    <row r="949" spans="1:8" x14ac:dyDescent="0.25">
      <c r="A949" t="s">
        <v>376</v>
      </c>
      <c r="B949" t="s">
        <v>381</v>
      </c>
      <c r="C949" t="s">
        <v>712</v>
      </c>
      <c r="D949" t="s">
        <v>1639</v>
      </c>
      <c r="E949" t="s">
        <v>714</v>
      </c>
      <c r="F949" t="s">
        <v>2889</v>
      </c>
      <c r="G949" t="s">
        <v>2037</v>
      </c>
      <c r="H949" t="s">
        <v>2038</v>
      </c>
    </row>
    <row r="950" spans="1:8" x14ac:dyDescent="0.25">
      <c r="A950" t="s">
        <v>376</v>
      </c>
      <c r="B950" t="s">
        <v>382</v>
      </c>
      <c r="C950" t="s">
        <v>715</v>
      </c>
      <c r="D950" t="s">
        <v>1640</v>
      </c>
      <c r="E950" t="s">
        <v>717</v>
      </c>
      <c r="F950" t="s">
        <v>2890</v>
      </c>
      <c r="G950" t="s">
        <v>2037</v>
      </c>
      <c r="H950" t="s">
        <v>2038</v>
      </c>
    </row>
    <row r="951" spans="1:8" x14ac:dyDescent="0.25">
      <c r="A951" t="s">
        <v>376</v>
      </c>
      <c r="B951" t="s">
        <v>383</v>
      </c>
      <c r="C951" t="s">
        <v>718</v>
      </c>
      <c r="D951" t="s">
        <v>1641</v>
      </c>
      <c r="E951" t="s">
        <v>720</v>
      </c>
      <c r="F951" t="s">
        <v>2891</v>
      </c>
      <c r="G951" t="s">
        <v>2037</v>
      </c>
      <c r="H951" t="s">
        <v>2038</v>
      </c>
    </row>
    <row r="952" spans="1:8" x14ac:dyDescent="0.25">
      <c r="A952" t="s">
        <v>376</v>
      </c>
      <c r="B952" t="s">
        <v>8</v>
      </c>
      <c r="C952" t="s">
        <v>721</v>
      </c>
      <c r="D952" t="s">
        <v>1642</v>
      </c>
      <c r="E952" t="s">
        <v>645</v>
      </c>
      <c r="F952" t="s">
        <v>2892</v>
      </c>
      <c r="G952" t="s">
        <v>2037</v>
      </c>
      <c r="H952" t="s">
        <v>2038</v>
      </c>
    </row>
    <row r="953" spans="1:8" x14ac:dyDescent="0.25">
      <c r="A953" t="s">
        <v>376</v>
      </c>
      <c r="B953" t="s">
        <v>8</v>
      </c>
      <c r="C953" t="s">
        <v>723</v>
      </c>
      <c r="D953" t="s">
        <v>1643</v>
      </c>
      <c r="E953" t="s">
        <v>660</v>
      </c>
      <c r="F953" t="s">
        <v>2893</v>
      </c>
      <c r="G953" t="s">
        <v>2037</v>
      </c>
      <c r="H953" t="s">
        <v>2038</v>
      </c>
    </row>
    <row r="954" spans="1:8" x14ac:dyDescent="0.25">
      <c r="A954" t="s">
        <v>376</v>
      </c>
      <c r="B954" t="s">
        <v>39</v>
      </c>
      <c r="C954" t="s">
        <v>725</v>
      </c>
      <c r="D954" t="s">
        <v>1644</v>
      </c>
      <c r="E954" t="s">
        <v>39</v>
      </c>
      <c r="F954" t="s">
        <v>2894</v>
      </c>
      <c r="G954" t="s">
        <v>2037</v>
      </c>
      <c r="H954" t="s">
        <v>2038</v>
      </c>
    </row>
    <row r="955" spans="1:8" x14ac:dyDescent="0.25">
      <c r="A955" t="s">
        <v>376</v>
      </c>
      <c r="B955" t="s">
        <v>40</v>
      </c>
      <c r="C955" t="s">
        <v>728</v>
      </c>
      <c r="D955" t="s">
        <v>1645</v>
      </c>
      <c r="E955" t="s">
        <v>687</v>
      </c>
      <c r="F955" t="s">
        <v>2895</v>
      </c>
      <c r="G955" t="s">
        <v>2037</v>
      </c>
      <c r="H955" t="s">
        <v>2038</v>
      </c>
    </row>
    <row r="956" spans="1:8" x14ac:dyDescent="0.25">
      <c r="A956" t="s">
        <v>384</v>
      </c>
      <c r="B956" t="s">
        <v>385</v>
      </c>
      <c r="C956" t="s">
        <v>1646</v>
      </c>
      <c r="D956" t="s">
        <v>1647</v>
      </c>
      <c r="E956" t="s">
        <v>1647</v>
      </c>
      <c r="F956" t="s">
        <v>2896</v>
      </c>
      <c r="G956" t="s">
        <v>2037</v>
      </c>
      <c r="H956" t="s">
        <v>2038</v>
      </c>
    </row>
    <row r="957" spans="1:8" x14ac:dyDescent="0.25">
      <c r="A957" t="s">
        <v>384</v>
      </c>
      <c r="B957" t="s">
        <v>386</v>
      </c>
      <c r="C957" t="s">
        <v>1646</v>
      </c>
      <c r="D957" t="s">
        <v>1648</v>
      </c>
      <c r="E957" t="s">
        <v>1648</v>
      </c>
      <c r="F957" t="s">
        <v>2897</v>
      </c>
      <c r="G957" t="s">
        <v>2037</v>
      </c>
      <c r="H957" t="s">
        <v>2038</v>
      </c>
    </row>
    <row r="958" spans="1:8" x14ac:dyDescent="0.25">
      <c r="A958" t="s">
        <v>384</v>
      </c>
      <c r="B958" t="s">
        <v>387</v>
      </c>
      <c r="C958" t="s">
        <v>1646</v>
      </c>
      <c r="D958" t="s">
        <v>1649</v>
      </c>
      <c r="E958" t="s">
        <v>1649</v>
      </c>
      <c r="F958" t="s">
        <v>2898</v>
      </c>
      <c r="G958" t="s">
        <v>2037</v>
      </c>
      <c r="H958" t="s">
        <v>2038</v>
      </c>
    </row>
    <row r="959" spans="1:8" x14ac:dyDescent="0.25">
      <c r="A959" t="s">
        <v>384</v>
      </c>
      <c r="B959" t="s">
        <v>388</v>
      </c>
      <c r="C959" t="s">
        <v>1646</v>
      </c>
      <c r="D959" t="s">
        <v>1650</v>
      </c>
      <c r="E959" t="s">
        <v>1650</v>
      </c>
      <c r="F959" t="s">
        <v>2899</v>
      </c>
      <c r="G959" t="s">
        <v>2037</v>
      </c>
      <c r="H959" t="s">
        <v>2038</v>
      </c>
    </row>
    <row r="960" spans="1:8" x14ac:dyDescent="0.25">
      <c r="A960" t="s">
        <v>384</v>
      </c>
      <c r="B960" t="s">
        <v>14</v>
      </c>
      <c r="C960" t="s">
        <v>1651</v>
      </c>
      <c r="D960" t="s">
        <v>1652</v>
      </c>
      <c r="E960" t="s">
        <v>1652</v>
      </c>
      <c r="F960" t="s">
        <v>2900</v>
      </c>
      <c r="G960" t="s">
        <v>2037</v>
      </c>
      <c r="H960" t="s">
        <v>2038</v>
      </c>
    </row>
    <row r="961" spans="1:8" x14ac:dyDescent="0.25">
      <c r="A961" t="s">
        <v>389</v>
      </c>
      <c r="B961" t="s">
        <v>385</v>
      </c>
      <c r="C961" t="s">
        <v>1646</v>
      </c>
      <c r="D961" t="s">
        <v>1647</v>
      </c>
      <c r="E961" t="s">
        <v>1647</v>
      </c>
      <c r="F961" t="s">
        <v>2901</v>
      </c>
      <c r="G961" t="s">
        <v>2037</v>
      </c>
      <c r="H961" t="s">
        <v>2038</v>
      </c>
    </row>
    <row r="962" spans="1:8" x14ac:dyDescent="0.25">
      <c r="A962" t="s">
        <v>389</v>
      </c>
      <c r="B962" t="s">
        <v>386</v>
      </c>
      <c r="C962" t="s">
        <v>1646</v>
      </c>
      <c r="D962" t="s">
        <v>1648</v>
      </c>
      <c r="E962" t="s">
        <v>1648</v>
      </c>
      <c r="F962" t="s">
        <v>2902</v>
      </c>
      <c r="G962" t="s">
        <v>2037</v>
      </c>
      <c r="H962" t="s">
        <v>2038</v>
      </c>
    </row>
    <row r="963" spans="1:8" x14ac:dyDescent="0.25">
      <c r="A963" t="s">
        <v>389</v>
      </c>
      <c r="B963" t="s">
        <v>387</v>
      </c>
      <c r="C963" t="s">
        <v>1646</v>
      </c>
      <c r="D963" t="s">
        <v>1649</v>
      </c>
      <c r="E963" t="s">
        <v>1649</v>
      </c>
      <c r="F963" t="s">
        <v>2903</v>
      </c>
      <c r="G963" t="s">
        <v>2037</v>
      </c>
      <c r="H963" t="s">
        <v>2038</v>
      </c>
    </row>
    <row r="964" spans="1:8" x14ac:dyDescent="0.25">
      <c r="A964" t="s">
        <v>389</v>
      </c>
      <c r="B964" t="s">
        <v>388</v>
      </c>
      <c r="C964" t="s">
        <v>1646</v>
      </c>
      <c r="D964" t="s">
        <v>1650</v>
      </c>
      <c r="E964" t="s">
        <v>1650</v>
      </c>
      <c r="F964" t="s">
        <v>2904</v>
      </c>
      <c r="G964" t="s">
        <v>2037</v>
      </c>
      <c r="H964" t="s">
        <v>2038</v>
      </c>
    </row>
    <row r="965" spans="1:8" x14ac:dyDescent="0.25">
      <c r="A965" t="s">
        <v>389</v>
      </c>
      <c r="B965" t="s">
        <v>14</v>
      </c>
      <c r="C965" t="s">
        <v>1651</v>
      </c>
      <c r="D965" t="s">
        <v>1652</v>
      </c>
      <c r="E965" t="s">
        <v>1652</v>
      </c>
      <c r="F965" t="s">
        <v>2905</v>
      </c>
      <c r="G965" t="s">
        <v>2037</v>
      </c>
      <c r="H965" t="s">
        <v>2038</v>
      </c>
    </row>
    <row r="966" spans="1:8" x14ac:dyDescent="0.25">
      <c r="A966" t="s">
        <v>390</v>
      </c>
      <c r="B966" t="s">
        <v>391</v>
      </c>
      <c r="C966" t="s">
        <v>1653</v>
      </c>
      <c r="D966" t="s">
        <v>1654</v>
      </c>
      <c r="E966" t="s">
        <v>1655</v>
      </c>
      <c r="F966" t="s">
        <v>2906</v>
      </c>
      <c r="G966" t="s">
        <v>2037</v>
      </c>
      <c r="H966" t="s">
        <v>2038</v>
      </c>
    </row>
    <row r="967" spans="1:8" x14ac:dyDescent="0.25">
      <c r="A967" t="s">
        <v>390</v>
      </c>
      <c r="B967" t="s">
        <v>392</v>
      </c>
      <c r="C967" t="s">
        <v>1656</v>
      </c>
      <c r="D967" t="s">
        <v>1657</v>
      </c>
      <c r="E967" t="s">
        <v>1658</v>
      </c>
      <c r="F967" t="s">
        <v>2907</v>
      </c>
      <c r="G967" t="s">
        <v>2037</v>
      </c>
      <c r="H967" t="s">
        <v>2038</v>
      </c>
    </row>
    <row r="968" spans="1:8" x14ac:dyDescent="0.25">
      <c r="A968" t="s">
        <v>390</v>
      </c>
      <c r="B968" t="s">
        <v>393</v>
      </c>
      <c r="C968" t="s">
        <v>1659</v>
      </c>
      <c r="D968" t="s">
        <v>1660</v>
      </c>
      <c r="E968" t="s">
        <v>702</v>
      </c>
      <c r="F968" t="s">
        <v>2908</v>
      </c>
      <c r="G968" t="s">
        <v>2037</v>
      </c>
      <c r="H968" t="s">
        <v>2038</v>
      </c>
    </row>
    <row r="969" spans="1:8" x14ac:dyDescent="0.25">
      <c r="A969" t="s">
        <v>390</v>
      </c>
      <c r="B969" t="s">
        <v>394</v>
      </c>
      <c r="C969" t="s">
        <v>1661</v>
      </c>
      <c r="D969" t="s">
        <v>1662</v>
      </c>
      <c r="E969" t="s">
        <v>705</v>
      </c>
      <c r="F969" t="s">
        <v>2909</v>
      </c>
      <c r="G969" t="s">
        <v>2037</v>
      </c>
      <c r="H969" t="s">
        <v>2038</v>
      </c>
    </row>
    <row r="970" spans="1:8" x14ac:dyDescent="0.25">
      <c r="A970" t="s">
        <v>390</v>
      </c>
      <c r="B970" t="s">
        <v>395</v>
      </c>
      <c r="C970" t="s">
        <v>1663</v>
      </c>
      <c r="D970" t="s">
        <v>1664</v>
      </c>
      <c r="E970" t="s">
        <v>708</v>
      </c>
      <c r="F970" t="s">
        <v>2910</v>
      </c>
      <c r="G970" t="s">
        <v>2037</v>
      </c>
      <c r="H970" t="s">
        <v>2038</v>
      </c>
    </row>
    <row r="971" spans="1:8" x14ac:dyDescent="0.25">
      <c r="A971" t="s">
        <v>390</v>
      </c>
      <c r="B971" t="s">
        <v>396</v>
      </c>
      <c r="C971" t="s">
        <v>1665</v>
      </c>
      <c r="D971" t="s">
        <v>1666</v>
      </c>
      <c r="E971" t="s">
        <v>711</v>
      </c>
      <c r="F971" t="s">
        <v>2911</v>
      </c>
      <c r="G971" t="s">
        <v>2037</v>
      </c>
      <c r="H971" t="s">
        <v>2038</v>
      </c>
    </row>
    <row r="972" spans="1:8" x14ac:dyDescent="0.25">
      <c r="A972" t="s">
        <v>390</v>
      </c>
      <c r="B972" t="s">
        <v>397</v>
      </c>
      <c r="C972" t="s">
        <v>1667</v>
      </c>
      <c r="D972" t="s">
        <v>1668</v>
      </c>
      <c r="E972" t="s">
        <v>714</v>
      </c>
      <c r="F972" t="s">
        <v>2912</v>
      </c>
      <c r="G972" t="s">
        <v>2037</v>
      </c>
      <c r="H972" t="s">
        <v>2038</v>
      </c>
    </row>
    <row r="973" spans="1:8" x14ac:dyDescent="0.25">
      <c r="A973" t="s">
        <v>390</v>
      </c>
      <c r="B973" t="s">
        <v>14</v>
      </c>
      <c r="C973" t="s">
        <v>1669</v>
      </c>
      <c r="D973" t="s">
        <v>1670</v>
      </c>
      <c r="E973" t="s">
        <v>687</v>
      </c>
      <c r="F973" t="s">
        <v>2913</v>
      </c>
      <c r="G973" t="s">
        <v>2037</v>
      </c>
      <c r="H973" t="s">
        <v>2038</v>
      </c>
    </row>
    <row r="974" spans="1:8" x14ac:dyDescent="0.25">
      <c r="A974" t="s">
        <v>398</v>
      </c>
      <c r="B974" t="s">
        <v>391</v>
      </c>
      <c r="C974" t="s">
        <v>1653</v>
      </c>
      <c r="D974" t="s">
        <v>1671</v>
      </c>
      <c r="E974" t="s">
        <v>1655</v>
      </c>
      <c r="F974" t="s">
        <v>2914</v>
      </c>
      <c r="G974" t="s">
        <v>2037</v>
      </c>
      <c r="H974" t="s">
        <v>2038</v>
      </c>
    </row>
    <row r="975" spans="1:8" x14ac:dyDescent="0.25">
      <c r="A975" t="s">
        <v>398</v>
      </c>
      <c r="B975" t="s">
        <v>392</v>
      </c>
      <c r="C975" t="s">
        <v>1656</v>
      </c>
      <c r="D975" t="s">
        <v>1672</v>
      </c>
      <c r="E975" t="s">
        <v>1658</v>
      </c>
      <c r="F975" t="s">
        <v>2915</v>
      </c>
      <c r="G975" t="s">
        <v>2037</v>
      </c>
      <c r="H975" t="s">
        <v>2038</v>
      </c>
    </row>
    <row r="976" spans="1:8" x14ac:dyDescent="0.25">
      <c r="A976" t="s">
        <v>398</v>
      </c>
      <c r="B976" t="s">
        <v>393</v>
      </c>
      <c r="C976" t="s">
        <v>1659</v>
      </c>
      <c r="D976" t="s">
        <v>1673</v>
      </c>
      <c r="E976" t="s">
        <v>702</v>
      </c>
      <c r="F976" t="s">
        <v>2916</v>
      </c>
      <c r="G976" t="s">
        <v>2037</v>
      </c>
      <c r="H976" t="s">
        <v>2038</v>
      </c>
    </row>
    <row r="977" spans="1:8" x14ac:dyDescent="0.25">
      <c r="A977" t="s">
        <v>398</v>
      </c>
      <c r="B977" t="s">
        <v>394</v>
      </c>
      <c r="C977" t="s">
        <v>1661</v>
      </c>
      <c r="D977" t="s">
        <v>1674</v>
      </c>
      <c r="E977" t="s">
        <v>705</v>
      </c>
      <c r="F977" t="s">
        <v>2917</v>
      </c>
      <c r="G977" t="s">
        <v>2037</v>
      </c>
      <c r="H977" t="s">
        <v>2038</v>
      </c>
    </row>
    <row r="978" spans="1:8" x14ac:dyDescent="0.25">
      <c r="A978" t="s">
        <v>398</v>
      </c>
      <c r="B978" t="s">
        <v>399</v>
      </c>
      <c r="C978" t="s">
        <v>1663</v>
      </c>
      <c r="D978" t="s">
        <v>1675</v>
      </c>
      <c r="E978" t="s">
        <v>708</v>
      </c>
      <c r="F978" t="s">
        <v>2918</v>
      </c>
      <c r="G978" t="s">
        <v>2037</v>
      </c>
      <c r="H978" t="s">
        <v>2038</v>
      </c>
    </row>
    <row r="979" spans="1:8" x14ac:dyDescent="0.25">
      <c r="A979" t="s">
        <v>398</v>
      </c>
      <c r="B979" t="s">
        <v>400</v>
      </c>
      <c r="C979" t="s">
        <v>1665</v>
      </c>
      <c r="D979" t="s">
        <v>1676</v>
      </c>
      <c r="E979" t="s">
        <v>711</v>
      </c>
      <c r="F979" t="s">
        <v>2919</v>
      </c>
      <c r="G979" t="s">
        <v>2037</v>
      </c>
      <c r="H979" t="s">
        <v>2038</v>
      </c>
    </row>
    <row r="980" spans="1:8" x14ac:dyDescent="0.25">
      <c r="A980" t="s">
        <v>398</v>
      </c>
      <c r="B980" t="s">
        <v>401</v>
      </c>
      <c r="C980" t="s">
        <v>1667</v>
      </c>
      <c r="D980" t="s">
        <v>1677</v>
      </c>
      <c r="E980" t="s">
        <v>714</v>
      </c>
      <c r="F980" t="s">
        <v>2920</v>
      </c>
      <c r="G980" t="s">
        <v>2037</v>
      </c>
      <c r="H980" t="s">
        <v>2038</v>
      </c>
    </row>
    <row r="981" spans="1:8" x14ac:dyDescent="0.25">
      <c r="A981" t="s">
        <v>398</v>
      </c>
      <c r="B981" t="s">
        <v>14</v>
      </c>
      <c r="C981" t="s">
        <v>1669</v>
      </c>
      <c r="D981" t="s">
        <v>1678</v>
      </c>
      <c r="E981" t="s">
        <v>687</v>
      </c>
      <c r="F981" t="s">
        <v>2921</v>
      </c>
      <c r="G981" t="s">
        <v>2037</v>
      </c>
      <c r="H981" t="s">
        <v>2038</v>
      </c>
    </row>
    <row r="982" spans="1:8" x14ac:dyDescent="0.25">
      <c r="A982" t="s">
        <v>402</v>
      </c>
      <c r="B982" t="s">
        <v>403</v>
      </c>
      <c r="C982" t="s">
        <v>1653</v>
      </c>
      <c r="D982" t="s">
        <v>1679</v>
      </c>
      <c r="E982" t="s">
        <v>403</v>
      </c>
      <c r="F982" t="s">
        <v>2922</v>
      </c>
      <c r="G982" t="s">
        <v>2037</v>
      </c>
      <c r="H982" t="s">
        <v>2038</v>
      </c>
    </row>
    <row r="983" spans="1:8" x14ac:dyDescent="0.25">
      <c r="A983" t="s">
        <v>402</v>
      </c>
      <c r="B983" t="s">
        <v>404</v>
      </c>
      <c r="C983" t="s">
        <v>1680</v>
      </c>
      <c r="D983" t="s">
        <v>1681</v>
      </c>
      <c r="E983" t="s">
        <v>702</v>
      </c>
      <c r="F983" t="s">
        <v>2923</v>
      </c>
      <c r="G983" t="s">
        <v>2037</v>
      </c>
      <c r="H983" t="s">
        <v>2038</v>
      </c>
    </row>
    <row r="984" spans="1:8" x14ac:dyDescent="0.25">
      <c r="A984" t="s">
        <v>402</v>
      </c>
      <c r="B984" t="s">
        <v>405</v>
      </c>
      <c r="C984" t="s">
        <v>1682</v>
      </c>
      <c r="D984" t="s">
        <v>1683</v>
      </c>
      <c r="E984" t="s">
        <v>705</v>
      </c>
      <c r="F984" t="s">
        <v>2924</v>
      </c>
      <c r="G984" t="s">
        <v>2037</v>
      </c>
      <c r="H984" t="s">
        <v>2038</v>
      </c>
    </row>
    <row r="985" spans="1:8" x14ac:dyDescent="0.25">
      <c r="A985" t="s">
        <v>402</v>
      </c>
      <c r="B985" t="s">
        <v>406</v>
      </c>
      <c r="C985" t="s">
        <v>1684</v>
      </c>
      <c r="D985" t="s">
        <v>1685</v>
      </c>
      <c r="E985" t="s">
        <v>708</v>
      </c>
      <c r="F985" t="s">
        <v>2925</v>
      </c>
      <c r="G985" t="s">
        <v>2037</v>
      </c>
      <c r="H985" t="s">
        <v>2038</v>
      </c>
    </row>
    <row r="986" spans="1:8" x14ac:dyDescent="0.25">
      <c r="A986" t="s">
        <v>402</v>
      </c>
      <c r="B986" t="s">
        <v>407</v>
      </c>
      <c r="C986" t="s">
        <v>1686</v>
      </c>
      <c r="D986" t="s">
        <v>1687</v>
      </c>
      <c r="E986" t="s">
        <v>711</v>
      </c>
      <c r="F986" t="s">
        <v>2926</v>
      </c>
      <c r="G986" t="s">
        <v>2037</v>
      </c>
      <c r="H986" t="s">
        <v>2038</v>
      </c>
    </row>
    <row r="987" spans="1:8" x14ac:dyDescent="0.25">
      <c r="A987" t="s">
        <v>402</v>
      </c>
      <c r="B987" t="s">
        <v>408</v>
      </c>
      <c r="C987" t="s">
        <v>1688</v>
      </c>
      <c r="D987" t="s">
        <v>1689</v>
      </c>
      <c r="E987" t="s">
        <v>714</v>
      </c>
      <c r="F987" t="s">
        <v>2927</v>
      </c>
      <c r="G987" t="s">
        <v>2037</v>
      </c>
      <c r="H987" t="s">
        <v>2038</v>
      </c>
    </row>
    <row r="988" spans="1:8" x14ac:dyDescent="0.25">
      <c r="A988" t="s">
        <v>402</v>
      </c>
      <c r="B988" t="s">
        <v>409</v>
      </c>
      <c r="C988" t="s">
        <v>1690</v>
      </c>
      <c r="D988" t="s">
        <v>1691</v>
      </c>
      <c r="E988" t="s">
        <v>8</v>
      </c>
      <c r="F988" t="s">
        <v>2928</v>
      </c>
      <c r="G988" t="s">
        <v>2037</v>
      </c>
      <c r="H988" t="s">
        <v>2038</v>
      </c>
    </row>
    <row r="989" spans="1:8" x14ac:dyDescent="0.25">
      <c r="A989" t="s">
        <v>402</v>
      </c>
      <c r="B989" t="s">
        <v>14</v>
      </c>
      <c r="C989" t="s">
        <v>1669</v>
      </c>
      <c r="D989" t="s">
        <v>1692</v>
      </c>
      <c r="E989" t="s">
        <v>687</v>
      </c>
      <c r="F989" t="s">
        <v>2929</v>
      </c>
      <c r="G989" t="s">
        <v>2037</v>
      </c>
      <c r="H989" t="s">
        <v>2038</v>
      </c>
    </row>
    <row r="990" spans="1:8" x14ac:dyDescent="0.25">
      <c r="A990" t="s">
        <v>410</v>
      </c>
      <c r="B990" t="s">
        <v>403</v>
      </c>
      <c r="C990" t="s">
        <v>1653</v>
      </c>
      <c r="D990" t="s">
        <v>1693</v>
      </c>
      <c r="E990" t="s">
        <v>403</v>
      </c>
      <c r="F990" t="s">
        <v>2930</v>
      </c>
      <c r="G990" t="s">
        <v>2037</v>
      </c>
      <c r="H990" t="s">
        <v>2038</v>
      </c>
    </row>
    <row r="991" spans="1:8" x14ac:dyDescent="0.25">
      <c r="A991" t="s">
        <v>410</v>
      </c>
      <c r="B991" t="s">
        <v>411</v>
      </c>
      <c r="C991" t="s">
        <v>1680</v>
      </c>
      <c r="D991" t="s">
        <v>1694</v>
      </c>
      <c r="E991" t="s">
        <v>702</v>
      </c>
      <c r="F991" t="s">
        <v>2931</v>
      </c>
      <c r="G991" t="s">
        <v>2037</v>
      </c>
      <c r="H991" t="s">
        <v>2038</v>
      </c>
    </row>
    <row r="992" spans="1:8" x14ac:dyDescent="0.25">
      <c r="A992" t="s">
        <v>410</v>
      </c>
      <c r="B992" t="s">
        <v>412</v>
      </c>
      <c r="C992" t="s">
        <v>1682</v>
      </c>
      <c r="D992" t="s">
        <v>1695</v>
      </c>
      <c r="E992" t="s">
        <v>705</v>
      </c>
      <c r="F992" t="s">
        <v>2932</v>
      </c>
      <c r="G992" t="s">
        <v>2037</v>
      </c>
      <c r="H992" t="s">
        <v>2038</v>
      </c>
    </row>
    <row r="993" spans="1:8" x14ac:dyDescent="0.25">
      <c r="A993" t="s">
        <v>410</v>
      </c>
      <c r="B993" t="s">
        <v>413</v>
      </c>
      <c r="C993" t="s">
        <v>1684</v>
      </c>
      <c r="D993" t="s">
        <v>1696</v>
      </c>
      <c r="E993" t="s">
        <v>708</v>
      </c>
      <c r="F993" t="s">
        <v>2933</v>
      </c>
      <c r="G993" t="s">
        <v>2037</v>
      </c>
      <c r="H993" t="s">
        <v>2038</v>
      </c>
    </row>
    <row r="994" spans="1:8" x14ac:dyDescent="0.25">
      <c r="A994" t="s">
        <v>410</v>
      </c>
      <c r="B994" t="s">
        <v>414</v>
      </c>
      <c r="C994" t="s">
        <v>1686</v>
      </c>
      <c r="D994" t="s">
        <v>1697</v>
      </c>
      <c r="E994" t="s">
        <v>711</v>
      </c>
      <c r="F994" t="s">
        <v>2934</v>
      </c>
      <c r="G994" t="s">
        <v>2037</v>
      </c>
      <c r="H994" t="s">
        <v>2038</v>
      </c>
    </row>
    <row r="995" spans="1:8" x14ac:dyDescent="0.25">
      <c r="A995" t="s">
        <v>410</v>
      </c>
      <c r="B995" t="s">
        <v>415</v>
      </c>
      <c r="C995" t="s">
        <v>1688</v>
      </c>
      <c r="D995" t="s">
        <v>1698</v>
      </c>
      <c r="E995" t="s">
        <v>714</v>
      </c>
      <c r="F995" t="s">
        <v>2935</v>
      </c>
      <c r="G995" t="s">
        <v>2037</v>
      </c>
      <c r="H995" t="s">
        <v>2038</v>
      </c>
    </row>
    <row r="996" spans="1:8" x14ac:dyDescent="0.25">
      <c r="A996" t="s">
        <v>410</v>
      </c>
      <c r="B996" t="s">
        <v>14</v>
      </c>
      <c r="C996" t="s">
        <v>1669</v>
      </c>
      <c r="D996" t="s">
        <v>1699</v>
      </c>
      <c r="E996" t="s">
        <v>687</v>
      </c>
      <c r="F996" t="s">
        <v>2936</v>
      </c>
      <c r="G996" t="s">
        <v>2037</v>
      </c>
      <c r="H996" t="s">
        <v>2038</v>
      </c>
    </row>
    <row r="997" spans="1:8" x14ac:dyDescent="0.25">
      <c r="A997" t="s">
        <v>416</v>
      </c>
      <c r="B997" t="s">
        <v>403</v>
      </c>
      <c r="C997" t="s">
        <v>1653</v>
      </c>
      <c r="D997" t="s">
        <v>1700</v>
      </c>
      <c r="E997" t="s">
        <v>403</v>
      </c>
      <c r="F997" t="s">
        <v>2937</v>
      </c>
      <c r="G997" t="s">
        <v>2037</v>
      </c>
      <c r="H997" t="s">
        <v>2038</v>
      </c>
    </row>
    <row r="998" spans="1:8" x14ac:dyDescent="0.25">
      <c r="A998" t="s">
        <v>416</v>
      </c>
      <c r="B998" t="s">
        <v>417</v>
      </c>
      <c r="C998" t="s">
        <v>1680</v>
      </c>
      <c r="D998" t="s">
        <v>1700</v>
      </c>
      <c r="E998" t="s">
        <v>702</v>
      </c>
      <c r="F998" t="s">
        <v>2938</v>
      </c>
      <c r="G998" t="s">
        <v>2037</v>
      </c>
      <c r="H998" t="s">
        <v>2038</v>
      </c>
    </row>
    <row r="999" spans="1:8" x14ac:dyDescent="0.25">
      <c r="A999" t="s">
        <v>416</v>
      </c>
      <c r="B999" t="s">
        <v>418</v>
      </c>
      <c r="C999" t="s">
        <v>1682</v>
      </c>
      <c r="D999" t="s">
        <v>1701</v>
      </c>
      <c r="E999" t="s">
        <v>705</v>
      </c>
      <c r="F999" t="s">
        <v>2939</v>
      </c>
      <c r="G999" t="s">
        <v>2037</v>
      </c>
      <c r="H999" t="s">
        <v>2038</v>
      </c>
    </row>
    <row r="1000" spans="1:8" x14ac:dyDescent="0.25">
      <c r="A1000" t="s">
        <v>416</v>
      </c>
      <c r="B1000" t="s">
        <v>419</v>
      </c>
      <c r="C1000" t="s">
        <v>1684</v>
      </c>
      <c r="D1000" t="s">
        <v>1702</v>
      </c>
      <c r="E1000" t="s">
        <v>708</v>
      </c>
      <c r="F1000" t="s">
        <v>2940</v>
      </c>
      <c r="G1000" t="s">
        <v>2037</v>
      </c>
      <c r="H1000" t="s">
        <v>2038</v>
      </c>
    </row>
    <row r="1001" spans="1:8" x14ac:dyDescent="0.25">
      <c r="A1001" t="s">
        <v>416</v>
      </c>
      <c r="B1001" t="s">
        <v>420</v>
      </c>
      <c r="C1001" t="s">
        <v>1686</v>
      </c>
      <c r="D1001" t="s">
        <v>1703</v>
      </c>
      <c r="E1001" t="s">
        <v>711</v>
      </c>
      <c r="F1001" t="s">
        <v>2941</v>
      </c>
      <c r="G1001" t="s">
        <v>2037</v>
      </c>
      <c r="H1001" t="s">
        <v>2038</v>
      </c>
    </row>
    <row r="1002" spans="1:8" x14ac:dyDescent="0.25">
      <c r="A1002" t="s">
        <v>416</v>
      </c>
      <c r="B1002" t="s">
        <v>415</v>
      </c>
      <c r="C1002" t="s">
        <v>1688</v>
      </c>
      <c r="D1002" t="s">
        <v>1704</v>
      </c>
      <c r="E1002" t="s">
        <v>714</v>
      </c>
      <c r="F1002" t="s">
        <v>2942</v>
      </c>
      <c r="G1002" t="s">
        <v>2037</v>
      </c>
      <c r="H1002" t="s">
        <v>2038</v>
      </c>
    </row>
    <row r="1003" spans="1:8" x14ac:dyDescent="0.25">
      <c r="A1003" t="s">
        <v>416</v>
      </c>
      <c r="B1003" t="s">
        <v>14</v>
      </c>
      <c r="C1003" t="s">
        <v>1669</v>
      </c>
      <c r="D1003" t="s">
        <v>1705</v>
      </c>
      <c r="E1003" t="s">
        <v>687</v>
      </c>
      <c r="F1003" t="s">
        <v>2943</v>
      </c>
      <c r="G1003" t="s">
        <v>2037</v>
      </c>
      <c r="H1003" t="s">
        <v>2038</v>
      </c>
    </row>
    <row r="1004" spans="1:8" x14ac:dyDescent="0.25">
      <c r="A1004" t="s">
        <v>421</v>
      </c>
      <c r="B1004" t="s">
        <v>403</v>
      </c>
      <c r="C1004" t="s">
        <v>1653</v>
      </c>
      <c r="D1004" t="s">
        <v>1706</v>
      </c>
      <c r="E1004" t="s">
        <v>403</v>
      </c>
      <c r="F1004" t="s">
        <v>2944</v>
      </c>
      <c r="G1004" t="s">
        <v>2037</v>
      </c>
      <c r="H1004" t="s">
        <v>2038</v>
      </c>
    </row>
    <row r="1005" spans="1:8" x14ac:dyDescent="0.25">
      <c r="A1005" t="s">
        <v>421</v>
      </c>
      <c r="B1005" t="s">
        <v>422</v>
      </c>
      <c r="C1005" t="s">
        <v>1680</v>
      </c>
      <c r="D1005" t="s">
        <v>1706</v>
      </c>
      <c r="E1005" t="s">
        <v>702</v>
      </c>
      <c r="F1005" t="s">
        <v>2945</v>
      </c>
      <c r="G1005" t="s">
        <v>2037</v>
      </c>
      <c r="H1005" t="s">
        <v>2038</v>
      </c>
    </row>
    <row r="1006" spans="1:8" x14ac:dyDescent="0.25">
      <c r="A1006" t="s">
        <v>421</v>
      </c>
      <c r="B1006" t="s">
        <v>423</v>
      </c>
      <c r="C1006" t="s">
        <v>1682</v>
      </c>
      <c r="D1006" t="s">
        <v>1707</v>
      </c>
      <c r="E1006" t="s">
        <v>705</v>
      </c>
      <c r="F1006" t="s">
        <v>2946</v>
      </c>
      <c r="G1006" t="s">
        <v>2037</v>
      </c>
      <c r="H1006" t="s">
        <v>2038</v>
      </c>
    </row>
    <row r="1007" spans="1:8" x14ac:dyDescent="0.25">
      <c r="A1007" t="s">
        <v>421</v>
      </c>
      <c r="B1007" t="s">
        <v>424</v>
      </c>
      <c r="C1007" t="s">
        <v>1684</v>
      </c>
      <c r="D1007" t="s">
        <v>1708</v>
      </c>
      <c r="E1007" t="s">
        <v>708</v>
      </c>
      <c r="F1007" t="s">
        <v>2947</v>
      </c>
      <c r="G1007" t="s">
        <v>2037</v>
      </c>
      <c r="H1007" t="s">
        <v>2038</v>
      </c>
    </row>
    <row r="1008" spans="1:8" x14ac:dyDescent="0.25">
      <c r="A1008" t="s">
        <v>421</v>
      </c>
      <c r="B1008" t="s">
        <v>425</v>
      </c>
      <c r="C1008" t="s">
        <v>1686</v>
      </c>
      <c r="D1008" t="s">
        <v>1709</v>
      </c>
      <c r="E1008" t="s">
        <v>711</v>
      </c>
      <c r="F1008" t="s">
        <v>2948</v>
      </c>
      <c r="G1008" t="s">
        <v>2037</v>
      </c>
      <c r="H1008" t="s">
        <v>2038</v>
      </c>
    </row>
    <row r="1009" spans="1:8" x14ac:dyDescent="0.25">
      <c r="A1009" t="s">
        <v>421</v>
      </c>
      <c r="B1009" t="s">
        <v>415</v>
      </c>
      <c r="C1009" t="s">
        <v>1688</v>
      </c>
      <c r="D1009" t="s">
        <v>1710</v>
      </c>
      <c r="E1009" t="s">
        <v>714</v>
      </c>
      <c r="F1009" t="s">
        <v>2949</v>
      </c>
      <c r="G1009" t="s">
        <v>2037</v>
      </c>
      <c r="H1009" t="s">
        <v>2038</v>
      </c>
    </row>
    <row r="1010" spans="1:8" x14ac:dyDescent="0.25">
      <c r="A1010" t="s">
        <v>421</v>
      </c>
      <c r="B1010" t="s">
        <v>14</v>
      </c>
      <c r="C1010" t="s">
        <v>1669</v>
      </c>
      <c r="D1010" t="s">
        <v>1711</v>
      </c>
      <c r="E1010" t="s">
        <v>687</v>
      </c>
      <c r="F1010" t="s">
        <v>2950</v>
      </c>
      <c r="G1010" t="s">
        <v>2037</v>
      </c>
      <c r="H1010" t="s">
        <v>2038</v>
      </c>
    </row>
    <row r="1011" spans="1:8" x14ac:dyDescent="0.25">
      <c r="A1011" t="s">
        <v>426</v>
      </c>
      <c r="B1011" t="s">
        <v>3</v>
      </c>
      <c r="C1011" t="s">
        <v>633</v>
      </c>
      <c r="D1011" t="s">
        <v>1712</v>
      </c>
      <c r="E1011" t="s">
        <v>635</v>
      </c>
      <c r="F1011" t="s">
        <v>2951</v>
      </c>
      <c r="G1011" t="s">
        <v>2037</v>
      </c>
      <c r="H1011" t="s">
        <v>2038</v>
      </c>
    </row>
    <row r="1012" spans="1:8" x14ac:dyDescent="0.25">
      <c r="A1012" t="s">
        <v>427</v>
      </c>
      <c r="B1012" t="s">
        <v>5</v>
      </c>
      <c r="C1012" t="s">
        <v>636</v>
      </c>
      <c r="D1012" t="s">
        <v>1713</v>
      </c>
      <c r="E1012" t="s">
        <v>638</v>
      </c>
      <c r="F1012" t="s">
        <v>2952</v>
      </c>
      <c r="G1012" t="s">
        <v>2037</v>
      </c>
      <c r="H1012" t="s">
        <v>2038</v>
      </c>
    </row>
    <row r="1013" spans="1:8" x14ac:dyDescent="0.25">
      <c r="A1013" t="s">
        <v>427</v>
      </c>
      <c r="B1013" t="s">
        <v>428</v>
      </c>
      <c r="C1013" t="s">
        <v>1714</v>
      </c>
      <c r="D1013" t="s">
        <v>1715</v>
      </c>
      <c r="E1013" t="s">
        <v>428</v>
      </c>
      <c r="F1013" t="s">
        <v>2953</v>
      </c>
      <c r="G1013" t="s">
        <v>2037</v>
      </c>
      <c r="H1013" t="s">
        <v>2038</v>
      </c>
    </row>
    <row r="1014" spans="1:8" x14ac:dyDescent="0.25">
      <c r="A1014" t="s">
        <v>427</v>
      </c>
      <c r="B1014" t="s">
        <v>429</v>
      </c>
      <c r="C1014" t="s">
        <v>1716</v>
      </c>
      <c r="D1014" t="s">
        <v>1717</v>
      </c>
      <c r="E1014" t="s">
        <v>1103</v>
      </c>
      <c r="F1014" t="s">
        <v>2954</v>
      </c>
      <c r="G1014" t="s">
        <v>2037</v>
      </c>
      <c r="H1014" t="s">
        <v>2038</v>
      </c>
    </row>
    <row r="1015" spans="1:8" x14ac:dyDescent="0.25">
      <c r="A1015" t="s">
        <v>427</v>
      </c>
      <c r="B1015" t="s">
        <v>430</v>
      </c>
      <c r="C1015" t="s">
        <v>1718</v>
      </c>
      <c r="D1015" t="s">
        <v>1719</v>
      </c>
      <c r="E1015" t="s">
        <v>430</v>
      </c>
      <c r="F1015" t="s">
        <v>2955</v>
      </c>
      <c r="G1015" t="s">
        <v>2037</v>
      </c>
      <c r="H1015" t="s">
        <v>2038</v>
      </c>
    </row>
    <row r="1016" spans="1:8" x14ac:dyDescent="0.25">
      <c r="A1016" t="s">
        <v>427</v>
      </c>
      <c r="B1016" t="s">
        <v>431</v>
      </c>
      <c r="C1016" t="s">
        <v>1720</v>
      </c>
      <c r="D1016" t="s">
        <v>1721</v>
      </c>
      <c r="E1016" t="s">
        <v>431</v>
      </c>
      <c r="F1016" t="s">
        <v>2956</v>
      </c>
      <c r="G1016" t="s">
        <v>2037</v>
      </c>
      <c r="H1016" t="s">
        <v>2038</v>
      </c>
    </row>
    <row r="1017" spans="1:8" x14ac:dyDescent="0.25">
      <c r="A1017" t="s">
        <v>427</v>
      </c>
      <c r="B1017" t="s">
        <v>8</v>
      </c>
      <c r="C1017" t="s">
        <v>1110</v>
      </c>
      <c r="D1017" t="s">
        <v>1722</v>
      </c>
      <c r="E1017" t="s">
        <v>8</v>
      </c>
      <c r="F1017" t="s">
        <v>2957</v>
      </c>
      <c r="G1017" t="s">
        <v>2037</v>
      </c>
      <c r="H1017" t="s">
        <v>2038</v>
      </c>
    </row>
    <row r="1018" spans="1:8" x14ac:dyDescent="0.25">
      <c r="A1018" t="s">
        <v>427</v>
      </c>
      <c r="B1018" t="s">
        <v>14</v>
      </c>
      <c r="C1018" t="s">
        <v>661</v>
      </c>
      <c r="D1018" t="s">
        <v>1723</v>
      </c>
      <c r="E1018" t="s">
        <v>1724</v>
      </c>
      <c r="F1018" t="s">
        <v>2958</v>
      </c>
      <c r="G1018" t="s">
        <v>2037</v>
      </c>
      <c r="H1018" t="s">
        <v>2038</v>
      </c>
    </row>
    <row r="1019" spans="1:8" x14ac:dyDescent="0.25">
      <c r="D1019" t="s">
        <v>1725</v>
      </c>
      <c r="E1019" t="s">
        <v>1726</v>
      </c>
      <c r="F1019" t="s">
        <v>2079</v>
      </c>
    </row>
    <row r="1020" spans="1:8" x14ac:dyDescent="0.25">
      <c r="A1020" t="s">
        <v>432</v>
      </c>
      <c r="B1020" t="s">
        <v>16</v>
      </c>
      <c r="C1020" t="s">
        <v>1116</v>
      </c>
      <c r="D1020" t="s">
        <v>1727</v>
      </c>
      <c r="E1020" t="s">
        <v>16</v>
      </c>
      <c r="F1020" t="s">
        <v>2959</v>
      </c>
      <c r="G1020" t="s">
        <v>2037</v>
      </c>
      <c r="H1020" t="s">
        <v>2038</v>
      </c>
    </row>
    <row r="1021" spans="1:8" x14ac:dyDescent="0.25">
      <c r="A1021" t="s">
        <v>432</v>
      </c>
      <c r="B1021" t="s">
        <v>17</v>
      </c>
      <c r="C1021" t="s">
        <v>1728</v>
      </c>
      <c r="D1021" t="s">
        <v>1729</v>
      </c>
      <c r="E1021" t="s">
        <v>17</v>
      </c>
      <c r="F1021" t="s">
        <v>2960</v>
      </c>
      <c r="G1021" t="s">
        <v>2037</v>
      </c>
      <c r="H1021" t="s">
        <v>2038</v>
      </c>
    </row>
    <row r="1022" spans="1:8" x14ac:dyDescent="0.25">
      <c r="A1022" t="s">
        <v>432</v>
      </c>
      <c r="B1022" t="s">
        <v>433</v>
      </c>
      <c r="C1022" t="s">
        <v>673</v>
      </c>
      <c r="D1022" t="s">
        <v>1730</v>
      </c>
      <c r="E1022" t="s">
        <v>433</v>
      </c>
      <c r="F1022" t="s">
        <v>2961</v>
      </c>
      <c r="G1022" t="s">
        <v>2037</v>
      </c>
      <c r="H1022" t="s">
        <v>2038</v>
      </c>
    </row>
    <row r="1023" spans="1:8" x14ac:dyDescent="0.25">
      <c r="A1023" t="s">
        <v>432</v>
      </c>
      <c r="B1023" t="s">
        <v>434</v>
      </c>
      <c r="C1023" t="s">
        <v>675</v>
      </c>
      <c r="D1023" t="s">
        <v>1731</v>
      </c>
      <c r="E1023" t="s">
        <v>434</v>
      </c>
      <c r="F1023" t="s">
        <v>2962</v>
      </c>
      <c r="G1023" t="s">
        <v>2037</v>
      </c>
      <c r="H1023" t="s">
        <v>2038</v>
      </c>
    </row>
    <row r="1024" spans="1:8" x14ac:dyDescent="0.25">
      <c r="A1024" t="s">
        <v>432</v>
      </c>
      <c r="B1024" t="s">
        <v>435</v>
      </c>
      <c r="C1024" t="s">
        <v>677</v>
      </c>
      <c r="D1024" t="s">
        <v>1732</v>
      </c>
      <c r="E1024" t="s">
        <v>435</v>
      </c>
      <c r="F1024" t="s">
        <v>2963</v>
      </c>
      <c r="G1024" t="s">
        <v>2037</v>
      </c>
      <c r="H1024" t="s">
        <v>2038</v>
      </c>
    </row>
    <row r="1025" spans="1:8" x14ac:dyDescent="0.25">
      <c r="A1025" t="s">
        <v>432</v>
      </c>
      <c r="B1025" t="s">
        <v>436</v>
      </c>
      <c r="C1025" t="s">
        <v>679</v>
      </c>
      <c r="D1025" t="s">
        <v>1733</v>
      </c>
      <c r="E1025" t="s">
        <v>436</v>
      </c>
      <c r="F1025" t="s">
        <v>2964</v>
      </c>
      <c r="G1025" t="s">
        <v>2037</v>
      </c>
      <c r="H1025" t="s">
        <v>2038</v>
      </c>
    </row>
    <row r="1026" spans="1:8" x14ac:dyDescent="0.25">
      <c r="A1026" t="s">
        <v>432</v>
      </c>
      <c r="B1026" t="s">
        <v>437</v>
      </c>
      <c r="C1026" t="s">
        <v>1124</v>
      </c>
      <c r="D1026" t="s">
        <v>1734</v>
      </c>
      <c r="E1026" t="s">
        <v>437</v>
      </c>
      <c r="F1026" t="s">
        <v>2965</v>
      </c>
      <c r="G1026" t="s">
        <v>2037</v>
      </c>
      <c r="H1026" t="s">
        <v>2038</v>
      </c>
    </row>
    <row r="1027" spans="1:8" x14ac:dyDescent="0.25">
      <c r="A1027" t="s">
        <v>432</v>
      </c>
      <c r="B1027" t="s">
        <v>438</v>
      </c>
      <c r="C1027" t="s">
        <v>1126</v>
      </c>
      <c r="D1027" t="s">
        <v>1735</v>
      </c>
      <c r="E1027" t="s">
        <v>438</v>
      </c>
      <c r="F1027" t="s">
        <v>2966</v>
      </c>
      <c r="G1027" t="s">
        <v>2037</v>
      </c>
      <c r="H1027" t="s">
        <v>2038</v>
      </c>
    </row>
    <row r="1028" spans="1:8" x14ac:dyDescent="0.25">
      <c r="A1028" t="s">
        <v>432</v>
      </c>
      <c r="B1028" t="s">
        <v>439</v>
      </c>
      <c r="C1028" t="s">
        <v>671</v>
      </c>
      <c r="D1028" t="s">
        <v>1736</v>
      </c>
      <c r="E1028" t="s">
        <v>439</v>
      </c>
      <c r="F1028" t="s">
        <v>2967</v>
      </c>
      <c r="G1028" t="s">
        <v>2037</v>
      </c>
      <c r="H1028" t="s">
        <v>2038</v>
      </c>
    </row>
    <row r="1029" spans="1:8" x14ac:dyDescent="0.25">
      <c r="A1029" t="s">
        <v>432</v>
      </c>
      <c r="B1029" t="s">
        <v>440</v>
      </c>
      <c r="C1029" t="s">
        <v>671</v>
      </c>
      <c r="D1029" t="s">
        <v>1737</v>
      </c>
      <c r="E1029" t="s">
        <v>440</v>
      </c>
      <c r="F1029" t="s">
        <v>2968</v>
      </c>
      <c r="G1029" t="s">
        <v>2037</v>
      </c>
      <c r="H1029" t="s">
        <v>2038</v>
      </c>
    </row>
    <row r="1030" spans="1:8" x14ac:dyDescent="0.25">
      <c r="A1030" t="s">
        <v>432</v>
      </c>
      <c r="B1030" t="s">
        <v>441</v>
      </c>
      <c r="C1030" t="s">
        <v>1133</v>
      </c>
      <c r="D1030" t="s">
        <v>1738</v>
      </c>
      <c r="E1030" t="s">
        <v>441</v>
      </c>
      <c r="F1030" t="s">
        <v>2969</v>
      </c>
      <c r="G1030" t="s">
        <v>2037</v>
      </c>
      <c r="H1030" t="s">
        <v>2038</v>
      </c>
    </row>
    <row r="1031" spans="1:8" x14ac:dyDescent="0.25">
      <c r="A1031" t="s">
        <v>432</v>
      </c>
      <c r="B1031" t="s">
        <v>442</v>
      </c>
      <c r="C1031" t="s">
        <v>1131</v>
      </c>
      <c r="D1031" t="s">
        <v>1739</v>
      </c>
      <c r="E1031" t="s">
        <v>442</v>
      </c>
      <c r="F1031" t="s">
        <v>2970</v>
      </c>
      <c r="G1031" t="s">
        <v>2037</v>
      </c>
      <c r="H1031" t="s">
        <v>2038</v>
      </c>
    </row>
    <row r="1032" spans="1:8" x14ac:dyDescent="0.25">
      <c r="A1032" t="s">
        <v>432</v>
      </c>
      <c r="B1032" t="s">
        <v>26</v>
      </c>
      <c r="C1032" t="s">
        <v>685</v>
      </c>
      <c r="D1032" t="s">
        <v>1740</v>
      </c>
      <c r="E1032" t="s">
        <v>687</v>
      </c>
      <c r="F1032" t="s">
        <v>2971</v>
      </c>
      <c r="G1032" t="s">
        <v>2037</v>
      </c>
      <c r="H1032" t="s">
        <v>2038</v>
      </c>
    </row>
    <row r="1033" spans="1:8" x14ac:dyDescent="0.25">
      <c r="A1033" t="s">
        <v>426</v>
      </c>
      <c r="B1033" t="s">
        <v>27</v>
      </c>
      <c r="C1033" t="s">
        <v>688</v>
      </c>
      <c r="D1033" t="s">
        <v>1741</v>
      </c>
      <c r="E1033" t="s">
        <v>1741</v>
      </c>
      <c r="F1033" t="s">
        <v>2972</v>
      </c>
      <c r="G1033" t="s">
        <v>2037</v>
      </c>
      <c r="H1033" t="s">
        <v>2038</v>
      </c>
    </row>
    <row r="1034" spans="1:8" x14ac:dyDescent="0.25">
      <c r="A1034" t="s">
        <v>427</v>
      </c>
      <c r="B1034" t="s">
        <v>28</v>
      </c>
      <c r="C1034" t="s">
        <v>690</v>
      </c>
      <c r="F1034" t="s">
        <v>2973</v>
      </c>
      <c r="G1034" t="s">
        <v>2037</v>
      </c>
      <c r="H1034" t="s">
        <v>2038</v>
      </c>
    </row>
    <row r="1035" spans="1:8" x14ac:dyDescent="0.25">
      <c r="A1035" t="s">
        <v>427</v>
      </c>
      <c r="B1035" t="s">
        <v>29</v>
      </c>
      <c r="C1035" t="s">
        <v>693</v>
      </c>
      <c r="F1035" t="s">
        <v>2974</v>
      </c>
      <c r="G1035" t="s">
        <v>2037</v>
      </c>
      <c r="H1035" t="s">
        <v>2038</v>
      </c>
    </row>
    <row r="1036" spans="1:8" x14ac:dyDescent="0.25">
      <c r="A1036" t="s">
        <v>443</v>
      </c>
      <c r="B1036" t="s">
        <v>3</v>
      </c>
      <c r="C1036" t="s">
        <v>633</v>
      </c>
      <c r="D1036" t="s">
        <v>1742</v>
      </c>
      <c r="E1036" t="s">
        <v>635</v>
      </c>
      <c r="F1036" t="s">
        <v>2975</v>
      </c>
      <c r="G1036" t="s">
        <v>2037</v>
      </c>
      <c r="H1036" t="s">
        <v>2038</v>
      </c>
    </row>
    <row r="1037" spans="1:8" x14ac:dyDescent="0.25">
      <c r="A1037" t="s">
        <v>444</v>
      </c>
      <c r="B1037" t="s">
        <v>5</v>
      </c>
      <c r="C1037" t="s">
        <v>636</v>
      </c>
      <c r="D1037" t="s">
        <v>1743</v>
      </c>
      <c r="E1037" t="s">
        <v>638</v>
      </c>
      <c r="F1037" t="s">
        <v>2976</v>
      </c>
      <c r="G1037" t="s">
        <v>2037</v>
      </c>
      <c r="H1037" t="s">
        <v>2038</v>
      </c>
    </row>
    <row r="1038" spans="1:8" x14ac:dyDescent="0.25">
      <c r="A1038" t="s">
        <v>444</v>
      </c>
      <c r="B1038" t="s">
        <v>445</v>
      </c>
      <c r="C1038" t="s">
        <v>1714</v>
      </c>
      <c r="D1038" t="s">
        <v>1744</v>
      </c>
      <c r="E1038" t="s">
        <v>445</v>
      </c>
      <c r="F1038" t="s">
        <v>2977</v>
      </c>
      <c r="G1038" t="s">
        <v>2037</v>
      </c>
      <c r="H1038" t="s">
        <v>2038</v>
      </c>
    </row>
    <row r="1039" spans="1:8" x14ac:dyDescent="0.25">
      <c r="A1039" t="s">
        <v>444</v>
      </c>
      <c r="B1039" t="s">
        <v>446</v>
      </c>
      <c r="C1039" t="s">
        <v>1716</v>
      </c>
      <c r="D1039" t="s">
        <v>1745</v>
      </c>
      <c r="E1039" t="s">
        <v>1103</v>
      </c>
      <c r="F1039" t="s">
        <v>2978</v>
      </c>
      <c r="G1039" t="s">
        <v>2037</v>
      </c>
      <c r="H1039" t="s">
        <v>2038</v>
      </c>
    </row>
    <row r="1040" spans="1:8" x14ac:dyDescent="0.25">
      <c r="A1040" t="s">
        <v>444</v>
      </c>
      <c r="B1040" t="s">
        <v>447</v>
      </c>
      <c r="C1040" t="s">
        <v>1718</v>
      </c>
      <c r="D1040" t="s">
        <v>1746</v>
      </c>
      <c r="E1040" t="s">
        <v>447</v>
      </c>
      <c r="F1040" t="s">
        <v>2979</v>
      </c>
      <c r="G1040" t="s">
        <v>2037</v>
      </c>
      <c r="H1040" t="s">
        <v>2038</v>
      </c>
    </row>
    <row r="1041" spans="1:8" x14ac:dyDescent="0.25">
      <c r="A1041" t="s">
        <v>444</v>
      </c>
      <c r="B1041" t="s">
        <v>448</v>
      </c>
      <c r="C1041" t="s">
        <v>1720</v>
      </c>
      <c r="D1041" t="s">
        <v>1747</v>
      </c>
      <c r="E1041" t="s">
        <v>448</v>
      </c>
      <c r="F1041" t="s">
        <v>2980</v>
      </c>
      <c r="G1041" t="s">
        <v>2037</v>
      </c>
      <c r="H1041" t="s">
        <v>2038</v>
      </c>
    </row>
    <row r="1042" spans="1:8" x14ac:dyDescent="0.25">
      <c r="A1042" t="s">
        <v>444</v>
      </c>
      <c r="B1042" t="s">
        <v>8</v>
      </c>
      <c r="C1042" t="s">
        <v>1110</v>
      </c>
      <c r="D1042" t="s">
        <v>1748</v>
      </c>
      <c r="E1042" t="s">
        <v>8</v>
      </c>
      <c r="F1042" t="s">
        <v>2981</v>
      </c>
      <c r="G1042" t="s">
        <v>2037</v>
      </c>
      <c r="H1042" t="s">
        <v>2038</v>
      </c>
    </row>
    <row r="1043" spans="1:8" x14ac:dyDescent="0.25">
      <c r="A1043" t="s">
        <v>444</v>
      </c>
      <c r="B1043" t="s">
        <v>14</v>
      </c>
      <c r="C1043" t="s">
        <v>661</v>
      </c>
      <c r="D1043" t="s">
        <v>1749</v>
      </c>
      <c r="E1043" t="s">
        <v>1724</v>
      </c>
      <c r="F1043" t="s">
        <v>2982</v>
      </c>
      <c r="G1043" t="s">
        <v>2037</v>
      </c>
      <c r="H1043" t="s">
        <v>2038</v>
      </c>
    </row>
    <row r="1044" spans="1:8" x14ac:dyDescent="0.25">
      <c r="D1044" t="s">
        <v>1750</v>
      </c>
      <c r="E1044" t="s">
        <v>1751</v>
      </c>
      <c r="F1044" t="s">
        <v>2079</v>
      </c>
    </row>
    <row r="1045" spans="1:8" x14ac:dyDescent="0.25">
      <c r="A1045" t="s">
        <v>449</v>
      </c>
      <c r="B1045" t="s">
        <v>16</v>
      </c>
      <c r="C1045" t="s">
        <v>1116</v>
      </c>
      <c r="D1045" t="s">
        <v>1752</v>
      </c>
      <c r="E1045" t="s">
        <v>16</v>
      </c>
      <c r="F1045" t="s">
        <v>2983</v>
      </c>
      <c r="G1045" t="s">
        <v>2037</v>
      </c>
      <c r="H1045" t="s">
        <v>2038</v>
      </c>
    </row>
    <row r="1046" spans="1:8" x14ac:dyDescent="0.25">
      <c r="A1046" t="s">
        <v>449</v>
      </c>
      <c r="B1046" t="s">
        <v>17</v>
      </c>
      <c r="C1046" t="s">
        <v>1728</v>
      </c>
      <c r="D1046" t="s">
        <v>1753</v>
      </c>
      <c r="E1046" t="s">
        <v>17</v>
      </c>
      <c r="F1046" t="s">
        <v>2984</v>
      </c>
      <c r="G1046" t="s">
        <v>2037</v>
      </c>
      <c r="H1046" t="s">
        <v>2038</v>
      </c>
    </row>
    <row r="1047" spans="1:8" x14ac:dyDescent="0.25">
      <c r="A1047" t="s">
        <v>449</v>
      </c>
      <c r="B1047" t="s">
        <v>450</v>
      </c>
      <c r="C1047" t="s">
        <v>673</v>
      </c>
      <c r="D1047" t="s">
        <v>1754</v>
      </c>
      <c r="E1047" t="s">
        <v>450</v>
      </c>
      <c r="F1047" t="s">
        <v>2985</v>
      </c>
      <c r="G1047" t="s">
        <v>2037</v>
      </c>
      <c r="H1047" t="s">
        <v>2038</v>
      </c>
    </row>
    <row r="1048" spans="1:8" x14ac:dyDescent="0.25">
      <c r="A1048" t="s">
        <v>449</v>
      </c>
      <c r="B1048" t="s">
        <v>451</v>
      </c>
      <c r="C1048" t="s">
        <v>675</v>
      </c>
      <c r="D1048" t="s">
        <v>1755</v>
      </c>
      <c r="E1048" t="s">
        <v>451</v>
      </c>
      <c r="F1048" t="s">
        <v>2986</v>
      </c>
      <c r="G1048" t="s">
        <v>2037</v>
      </c>
      <c r="H1048" t="s">
        <v>2038</v>
      </c>
    </row>
    <row r="1049" spans="1:8" x14ac:dyDescent="0.25">
      <c r="A1049" t="s">
        <v>449</v>
      </c>
      <c r="B1049" t="s">
        <v>452</v>
      </c>
      <c r="C1049" t="s">
        <v>677</v>
      </c>
      <c r="D1049" t="s">
        <v>1756</v>
      </c>
      <c r="E1049" t="s">
        <v>452</v>
      </c>
      <c r="F1049" t="s">
        <v>2987</v>
      </c>
      <c r="G1049" t="s">
        <v>2037</v>
      </c>
      <c r="H1049" t="s">
        <v>2038</v>
      </c>
    </row>
    <row r="1050" spans="1:8" x14ac:dyDescent="0.25">
      <c r="A1050" t="s">
        <v>449</v>
      </c>
      <c r="B1050" t="s">
        <v>453</v>
      </c>
      <c r="C1050" t="s">
        <v>679</v>
      </c>
      <c r="D1050" t="s">
        <v>1757</v>
      </c>
      <c r="E1050" t="s">
        <v>453</v>
      </c>
      <c r="F1050" t="s">
        <v>2988</v>
      </c>
      <c r="G1050" t="s">
        <v>2037</v>
      </c>
      <c r="H1050" t="s">
        <v>2038</v>
      </c>
    </row>
    <row r="1051" spans="1:8" x14ac:dyDescent="0.25">
      <c r="A1051" t="s">
        <v>449</v>
      </c>
      <c r="B1051" t="s">
        <v>454</v>
      </c>
      <c r="C1051" t="s">
        <v>1124</v>
      </c>
      <c r="D1051" t="s">
        <v>1758</v>
      </c>
      <c r="E1051" t="s">
        <v>454</v>
      </c>
      <c r="F1051" t="s">
        <v>2989</v>
      </c>
      <c r="G1051" t="s">
        <v>2037</v>
      </c>
      <c r="H1051" t="s">
        <v>2038</v>
      </c>
    </row>
    <row r="1052" spans="1:8" x14ac:dyDescent="0.25">
      <c r="A1052" t="s">
        <v>449</v>
      </c>
      <c r="B1052" t="s">
        <v>455</v>
      </c>
      <c r="C1052" t="s">
        <v>1126</v>
      </c>
      <c r="D1052" t="s">
        <v>1759</v>
      </c>
      <c r="E1052" t="s">
        <v>455</v>
      </c>
      <c r="F1052" t="s">
        <v>2990</v>
      </c>
      <c r="G1052" t="s">
        <v>2037</v>
      </c>
      <c r="H1052" t="s">
        <v>2038</v>
      </c>
    </row>
    <row r="1053" spans="1:8" x14ac:dyDescent="0.25">
      <c r="A1053" t="s">
        <v>449</v>
      </c>
      <c r="B1053" t="s">
        <v>456</v>
      </c>
      <c r="C1053" t="s">
        <v>671</v>
      </c>
      <c r="D1053" t="s">
        <v>1760</v>
      </c>
      <c r="E1053" t="s">
        <v>456</v>
      </c>
      <c r="F1053" t="s">
        <v>2991</v>
      </c>
      <c r="G1053" t="s">
        <v>2037</v>
      </c>
      <c r="H1053" t="s">
        <v>2038</v>
      </c>
    </row>
    <row r="1054" spans="1:8" x14ac:dyDescent="0.25">
      <c r="A1054" t="s">
        <v>449</v>
      </c>
      <c r="B1054" t="s">
        <v>457</v>
      </c>
      <c r="C1054" t="s">
        <v>671</v>
      </c>
      <c r="D1054" t="s">
        <v>1761</v>
      </c>
      <c r="E1054" t="s">
        <v>457</v>
      </c>
      <c r="F1054" t="s">
        <v>2992</v>
      </c>
      <c r="G1054" t="s">
        <v>2037</v>
      </c>
      <c r="H1054" t="s">
        <v>2038</v>
      </c>
    </row>
    <row r="1055" spans="1:8" x14ac:dyDescent="0.25">
      <c r="A1055" t="s">
        <v>449</v>
      </c>
      <c r="B1055" t="s">
        <v>458</v>
      </c>
      <c r="C1055" t="s">
        <v>1133</v>
      </c>
      <c r="D1055" t="s">
        <v>1762</v>
      </c>
      <c r="E1055" t="s">
        <v>458</v>
      </c>
      <c r="F1055" t="s">
        <v>2993</v>
      </c>
      <c r="G1055" t="s">
        <v>2037</v>
      </c>
      <c r="H1055" t="s">
        <v>2038</v>
      </c>
    </row>
    <row r="1056" spans="1:8" x14ac:dyDescent="0.25">
      <c r="A1056" t="s">
        <v>449</v>
      </c>
      <c r="B1056" t="s">
        <v>459</v>
      </c>
      <c r="C1056" t="s">
        <v>1131</v>
      </c>
      <c r="D1056" t="s">
        <v>1763</v>
      </c>
      <c r="E1056" t="s">
        <v>459</v>
      </c>
      <c r="F1056" t="s">
        <v>2994</v>
      </c>
      <c r="G1056" t="s">
        <v>2037</v>
      </c>
      <c r="H1056" t="s">
        <v>2038</v>
      </c>
    </row>
    <row r="1057" spans="1:8" x14ac:dyDescent="0.25">
      <c r="A1057" t="s">
        <v>449</v>
      </c>
      <c r="B1057" t="s">
        <v>26</v>
      </c>
      <c r="C1057" t="s">
        <v>685</v>
      </c>
      <c r="D1057" t="s">
        <v>1764</v>
      </c>
      <c r="E1057" t="s">
        <v>687</v>
      </c>
      <c r="F1057" t="s">
        <v>2995</v>
      </c>
      <c r="G1057" t="s">
        <v>2037</v>
      </c>
      <c r="H1057" t="s">
        <v>2038</v>
      </c>
    </row>
    <row r="1058" spans="1:8" x14ac:dyDescent="0.25">
      <c r="A1058" t="s">
        <v>443</v>
      </c>
      <c r="B1058" t="s">
        <v>27</v>
      </c>
      <c r="C1058" t="s">
        <v>688</v>
      </c>
      <c r="D1058" t="s">
        <v>1765</v>
      </c>
      <c r="E1058" t="s">
        <v>1765</v>
      </c>
      <c r="F1058" t="s">
        <v>2996</v>
      </c>
      <c r="G1058" t="s">
        <v>2037</v>
      </c>
      <c r="H1058" t="s">
        <v>2038</v>
      </c>
    </row>
    <row r="1059" spans="1:8" x14ac:dyDescent="0.25">
      <c r="A1059" t="s">
        <v>444</v>
      </c>
      <c r="B1059" t="s">
        <v>28</v>
      </c>
      <c r="C1059" t="s">
        <v>690</v>
      </c>
      <c r="F1059" t="s">
        <v>2997</v>
      </c>
      <c r="G1059" t="s">
        <v>2037</v>
      </c>
      <c r="H1059" t="s">
        <v>2038</v>
      </c>
    </row>
    <row r="1060" spans="1:8" x14ac:dyDescent="0.25">
      <c r="A1060" t="s">
        <v>444</v>
      </c>
      <c r="B1060" t="s">
        <v>29</v>
      </c>
      <c r="C1060" t="s">
        <v>693</v>
      </c>
      <c r="F1060" t="s">
        <v>2998</v>
      </c>
      <c r="G1060" t="s">
        <v>2037</v>
      </c>
      <c r="H1060" t="s">
        <v>2038</v>
      </c>
    </row>
    <row r="1061" spans="1:8" x14ac:dyDescent="0.25">
      <c r="A1061" t="s">
        <v>460</v>
      </c>
      <c r="B1061" t="s">
        <v>3</v>
      </c>
      <c r="C1061" t="s">
        <v>633</v>
      </c>
      <c r="D1061" t="s">
        <v>1766</v>
      </c>
      <c r="E1061" t="s">
        <v>635</v>
      </c>
      <c r="F1061" t="s">
        <v>2999</v>
      </c>
      <c r="G1061" t="s">
        <v>2037</v>
      </c>
      <c r="H1061" t="s">
        <v>2038</v>
      </c>
    </row>
    <row r="1062" spans="1:8" x14ac:dyDescent="0.25">
      <c r="A1062" t="s">
        <v>461</v>
      </c>
      <c r="B1062" t="s">
        <v>5</v>
      </c>
      <c r="C1062" t="s">
        <v>636</v>
      </c>
      <c r="D1062" t="s">
        <v>1767</v>
      </c>
      <c r="E1062" t="s">
        <v>638</v>
      </c>
      <c r="F1062" t="s">
        <v>3000</v>
      </c>
      <c r="G1062" t="s">
        <v>2037</v>
      </c>
      <c r="H1062" t="s">
        <v>2038</v>
      </c>
    </row>
    <row r="1063" spans="1:8" x14ac:dyDescent="0.25">
      <c r="A1063" t="s">
        <v>461</v>
      </c>
      <c r="B1063" t="s">
        <v>462</v>
      </c>
      <c r="C1063" t="s">
        <v>1714</v>
      </c>
      <c r="D1063" t="s">
        <v>1768</v>
      </c>
      <c r="E1063" t="s">
        <v>462</v>
      </c>
      <c r="F1063" t="s">
        <v>3001</v>
      </c>
      <c r="G1063" t="s">
        <v>2037</v>
      </c>
      <c r="H1063" t="s">
        <v>2038</v>
      </c>
    </row>
    <row r="1064" spans="1:8" x14ac:dyDescent="0.25">
      <c r="A1064" t="s">
        <v>461</v>
      </c>
      <c r="B1064" t="s">
        <v>463</v>
      </c>
      <c r="C1064" t="s">
        <v>1716</v>
      </c>
      <c r="D1064" t="s">
        <v>1769</v>
      </c>
      <c r="E1064" t="s">
        <v>1103</v>
      </c>
      <c r="F1064" t="s">
        <v>3002</v>
      </c>
      <c r="G1064" t="s">
        <v>2037</v>
      </c>
      <c r="H1064" t="s">
        <v>2038</v>
      </c>
    </row>
    <row r="1065" spans="1:8" x14ac:dyDescent="0.25">
      <c r="A1065" t="s">
        <v>461</v>
      </c>
      <c r="B1065" t="s">
        <v>464</v>
      </c>
      <c r="C1065" t="s">
        <v>1718</v>
      </c>
      <c r="D1065" t="s">
        <v>1770</v>
      </c>
      <c r="E1065" t="s">
        <v>464</v>
      </c>
      <c r="F1065" t="s">
        <v>3003</v>
      </c>
      <c r="G1065" t="s">
        <v>2037</v>
      </c>
      <c r="H1065" t="s">
        <v>2038</v>
      </c>
    </row>
    <row r="1066" spans="1:8" x14ac:dyDescent="0.25">
      <c r="A1066" t="s">
        <v>461</v>
      </c>
      <c r="B1066" t="s">
        <v>465</v>
      </c>
      <c r="C1066" t="s">
        <v>1720</v>
      </c>
      <c r="D1066" t="s">
        <v>1771</v>
      </c>
      <c r="E1066" t="s">
        <v>465</v>
      </c>
      <c r="F1066" t="s">
        <v>3004</v>
      </c>
      <c r="G1066" t="s">
        <v>2037</v>
      </c>
      <c r="H1066" t="s">
        <v>2038</v>
      </c>
    </row>
    <row r="1067" spans="1:8" x14ac:dyDescent="0.25">
      <c r="A1067" t="s">
        <v>461</v>
      </c>
      <c r="B1067" t="s">
        <v>8</v>
      </c>
      <c r="C1067" t="s">
        <v>1110</v>
      </c>
      <c r="D1067" t="s">
        <v>1772</v>
      </c>
      <c r="E1067" t="s">
        <v>8</v>
      </c>
      <c r="F1067" t="s">
        <v>3005</v>
      </c>
      <c r="G1067" t="s">
        <v>2037</v>
      </c>
      <c r="H1067" t="s">
        <v>2038</v>
      </c>
    </row>
    <row r="1068" spans="1:8" x14ac:dyDescent="0.25">
      <c r="A1068" t="s">
        <v>461</v>
      </c>
      <c r="B1068" t="s">
        <v>14</v>
      </c>
      <c r="C1068" t="s">
        <v>661</v>
      </c>
      <c r="D1068" t="s">
        <v>1773</v>
      </c>
      <c r="E1068" t="s">
        <v>1724</v>
      </c>
      <c r="F1068" t="s">
        <v>3006</v>
      </c>
      <c r="G1068" t="s">
        <v>2037</v>
      </c>
      <c r="H1068" t="s">
        <v>2038</v>
      </c>
    </row>
    <row r="1069" spans="1:8" x14ac:dyDescent="0.25">
      <c r="D1069" t="s">
        <v>1774</v>
      </c>
      <c r="E1069" t="s">
        <v>1775</v>
      </c>
      <c r="F1069" t="s">
        <v>2079</v>
      </c>
    </row>
    <row r="1070" spans="1:8" x14ac:dyDescent="0.25">
      <c r="A1070" t="s">
        <v>466</v>
      </c>
      <c r="B1070" t="s">
        <v>16</v>
      </c>
      <c r="C1070" t="s">
        <v>1116</v>
      </c>
      <c r="D1070" t="s">
        <v>1776</v>
      </c>
      <c r="E1070" t="s">
        <v>16</v>
      </c>
      <c r="F1070" t="s">
        <v>3007</v>
      </c>
      <c r="G1070" t="s">
        <v>2037</v>
      </c>
      <c r="H1070" t="s">
        <v>2038</v>
      </c>
    </row>
    <row r="1071" spans="1:8" x14ac:dyDescent="0.25">
      <c r="A1071" t="s">
        <v>466</v>
      </c>
      <c r="B1071" t="s">
        <v>17</v>
      </c>
      <c r="C1071" t="s">
        <v>1728</v>
      </c>
      <c r="D1071" t="s">
        <v>1777</v>
      </c>
      <c r="E1071" t="s">
        <v>17</v>
      </c>
      <c r="F1071" t="s">
        <v>3008</v>
      </c>
      <c r="G1071" t="s">
        <v>2037</v>
      </c>
      <c r="H1071" t="s">
        <v>2038</v>
      </c>
    </row>
    <row r="1072" spans="1:8" x14ac:dyDescent="0.25">
      <c r="A1072" t="s">
        <v>466</v>
      </c>
      <c r="B1072" t="s">
        <v>467</v>
      </c>
      <c r="C1072" t="s">
        <v>673</v>
      </c>
      <c r="D1072" t="s">
        <v>1778</v>
      </c>
      <c r="E1072" t="s">
        <v>467</v>
      </c>
      <c r="F1072" t="s">
        <v>3009</v>
      </c>
      <c r="G1072" t="s">
        <v>2037</v>
      </c>
      <c r="H1072" t="s">
        <v>2038</v>
      </c>
    </row>
    <row r="1073" spans="1:8" x14ac:dyDescent="0.25">
      <c r="A1073" t="s">
        <v>466</v>
      </c>
      <c r="B1073" t="s">
        <v>468</v>
      </c>
      <c r="C1073" t="s">
        <v>675</v>
      </c>
      <c r="D1073" t="s">
        <v>1779</v>
      </c>
      <c r="E1073" t="s">
        <v>468</v>
      </c>
      <c r="F1073" t="s">
        <v>3010</v>
      </c>
      <c r="G1073" t="s">
        <v>2037</v>
      </c>
      <c r="H1073" t="s">
        <v>2038</v>
      </c>
    </row>
    <row r="1074" spans="1:8" x14ac:dyDescent="0.25">
      <c r="A1074" t="s">
        <v>466</v>
      </c>
      <c r="B1074" t="s">
        <v>469</v>
      </c>
      <c r="C1074" t="s">
        <v>677</v>
      </c>
      <c r="D1074" t="s">
        <v>1780</v>
      </c>
      <c r="E1074" t="s">
        <v>469</v>
      </c>
      <c r="F1074" t="s">
        <v>3011</v>
      </c>
      <c r="G1074" t="s">
        <v>2037</v>
      </c>
      <c r="H1074" t="s">
        <v>2038</v>
      </c>
    </row>
    <row r="1075" spans="1:8" x14ac:dyDescent="0.25">
      <c r="A1075" t="s">
        <v>466</v>
      </c>
      <c r="B1075" t="s">
        <v>470</v>
      </c>
      <c r="C1075" t="s">
        <v>679</v>
      </c>
      <c r="D1075" t="s">
        <v>1781</v>
      </c>
      <c r="E1075" t="s">
        <v>470</v>
      </c>
      <c r="F1075" t="s">
        <v>3012</v>
      </c>
      <c r="G1075" t="s">
        <v>2037</v>
      </c>
      <c r="H1075" t="s">
        <v>2038</v>
      </c>
    </row>
    <row r="1076" spans="1:8" x14ac:dyDescent="0.25">
      <c r="A1076" t="s">
        <v>466</v>
      </c>
      <c r="B1076" t="s">
        <v>471</v>
      </c>
      <c r="C1076" t="s">
        <v>1124</v>
      </c>
      <c r="D1076" t="s">
        <v>1782</v>
      </c>
      <c r="E1076" t="s">
        <v>471</v>
      </c>
      <c r="F1076" t="s">
        <v>3013</v>
      </c>
      <c r="G1076" t="s">
        <v>2037</v>
      </c>
      <c r="H1076" t="s">
        <v>2038</v>
      </c>
    </row>
    <row r="1077" spans="1:8" x14ac:dyDescent="0.25">
      <c r="A1077" t="s">
        <v>466</v>
      </c>
      <c r="B1077" t="s">
        <v>472</v>
      </c>
      <c r="C1077" t="s">
        <v>1126</v>
      </c>
      <c r="D1077" t="s">
        <v>1783</v>
      </c>
      <c r="E1077" t="s">
        <v>472</v>
      </c>
      <c r="F1077" t="s">
        <v>3014</v>
      </c>
      <c r="G1077" t="s">
        <v>2037</v>
      </c>
      <c r="H1077" t="s">
        <v>2038</v>
      </c>
    </row>
    <row r="1078" spans="1:8" x14ac:dyDescent="0.25">
      <c r="A1078" t="s">
        <v>466</v>
      </c>
      <c r="B1078" t="s">
        <v>473</v>
      </c>
      <c r="C1078" t="s">
        <v>671</v>
      </c>
      <c r="D1078" t="s">
        <v>1784</v>
      </c>
      <c r="E1078" t="s">
        <v>473</v>
      </c>
      <c r="F1078" t="s">
        <v>3015</v>
      </c>
      <c r="G1078" t="s">
        <v>2037</v>
      </c>
      <c r="H1078" t="s">
        <v>2038</v>
      </c>
    </row>
    <row r="1079" spans="1:8" x14ac:dyDescent="0.25">
      <c r="A1079" t="s">
        <v>466</v>
      </c>
      <c r="B1079" t="s">
        <v>474</v>
      </c>
      <c r="C1079" t="s">
        <v>671</v>
      </c>
      <c r="D1079" t="s">
        <v>1785</v>
      </c>
      <c r="E1079" t="s">
        <v>474</v>
      </c>
      <c r="F1079" t="s">
        <v>3016</v>
      </c>
      <c r="G1079" t="s">
        <v>2037</v>
      </c>
      <c r="H1079" t="s">
        <v>2038</v>
      </c>
    </row>
    <row r="1080" spans="1:8" x14ac:dyDescent="0.25">
      <c r="A1080" t="s">
        <v>466</v>
      </c>
      <c r="B1080" t="s">
        <v>475</v>
      </c>
      <c r="C1080" t="s">
        <v>1133</v>
      </c>
      <c r="D1080" t="s">
        <v>1786</v>
      </c>
      <c r="E1080" t="s">
        <v>475</v>
      </c>
      <c r="F1080" t="s">
        <v>3017</v>
      </c>
      <c r="G1080" t="s">
        <v>2037</v>
      </c>
      <c r="H1080" t="s">
        <v>2038</v>
      </c>
    </row>
    <row r="1081" spans="1:8" x14ac:dyDescent="0.25">
      <c r="A1081" t="s">
        <v>466</v>
      </c>
      <c r="B1081" t="s">
        <v>476</v>
      </c>
      <c r="C1081" t="s">
        <v>1131</v>
      </c>
      <c r="D1081" t="s">
        <v>1787</v>
      </c>
      <c r="E1081" t="s">
        <v>476</v>
      </c>
      <c r="F1081" t="s">
        <v>3018</v>
      </c>
      <c r="G1081" t="s">
        <v>2037</v>
      </c>
      <c r="H1081" t="s">
        <v>2038</v>
      </c>
    </row>
    <row r="1082" spans="1:8" x14ac:dyDescent="0.25">
      <c r="A1082" t="s">
        <v>466</v>
      </c>
      <c r="B1082" t="s">
        <v>26</v>
      </c>
      <c r="C1082" t="s">
        <v>685</v>
      </c>
      <c r="D1082" t="s">
        <v>1788</v>
      </c>
      <c r="E1082" t="s">
        <v>687</v>
      </c>
      <c r="F1082" t="s">
        <v>3019</v>
      </c>
      <c r="G1082" t="s">
        <v>2037</v>
      </c>
      <c r="H1082" t="s">
        <v>2038</v>
      </c>
    </row>
    <row r="1083" spans="1:8" x14ac:dyDescent="0.25">
      <c r="A1083" t="s">
        <v>460</v>
      </c>
      <c r="B1083" t="s">
        <v>27</v>
      </c>
      <c r="C1083" t="s">
        <v>688</v>
      </c>
      <c r="D1083" t="s">
        <v>1789</v>
      </c>
      <c r="E1083" t="s">
        <v>1789</v>
      </c>
      <c r="F1083" t="s">
        <v>3020</v>
      </c>
      <c r="G1083" t="s">
        <v>2037</v>
      </c>
      <c r="H1083" t="s">
        <v>2038</v>
      </c>
    </row>
    <row r="1084" spans="1:8" x14ac:dyDescent="0.25">
      <c r="A1084" t="s">
        <v>461</v>
      </c>
      <c r="B1084" t="s">
        <v>28</v>
      </c>
      <c r="C1084" t="s">
        <v>690</v>
      </c>
      <c r="F1084" t="s">
        <v>3021</v>
      </c>
      <c r="G1084" t="s">
        <v>2037</v>
      </c>
      <c r="H1084" t="s">
        <v>2038</v>
      </c>
    </row>
    <row r="1085" spans="1:8" x14ac:dyDescent="0.25">
      <c r="A1085" t="s">
        <v>461</v>
      </c>
      <c r="B1085" t="s">
        <v>29</v>
      </c>
      <c r="C1085" t="s">
        <v>693</v>
      </c>
      <c r="F1085" t="s">
        <v>3022</v>
      </c>
      <c r="G1085" t="s">
        <v>2037</v>
      </c>
      <c r="H1085" t="s">
        <v>2038</v>
      </c>
    </row>
    <row r="1086" spans="1:8" x14ac:dyDescent="0.25">
      <c r="A1086" t="s">
        <v>477</v>
      </c>
      <c r="B1086" t="s">
        <v>3</v>
      </c>
      <c r="C1086" t="s">
        <v>633</v>
      </c>
      <c r="D1086" t="s">
        <v>1790</v>
      </c>
      <c r="E1086" t="s">
        <v>635</v>
      </c>
      <c r="F1086" t="s">
        <v>3023</v>
      </c>
      <c r="G1086" t="s">
        <v>2037</v>
      </c>
      <c r="H1086" t="s">
        <v>2038</v>
      </c>
    </row>
    <row r="1087" spans="1:8" x14ac:dyDescent="0.25">
      <c r="A1087" t="s">
        <v>478</v>
      </c>
      <c r="B1087" t="s">
        <v>5</v>
      </c>
      <c r="C1087" t="s">
        <v>636</v>
      </c>
      <c r="D1087" t="s">
        <v>1791</v>
      </c>
      <c r="E1087" t="s">
        <v>638</v>
      </c>
      <c r="F1087" t="s">
        <v>3024</v>
      </c>
      <c r="G1087" t="s">
        <v>2037</v>
      </c>
      <c r="H1087" t="s">
        <v>2038</v>
      </c>
    </row>
    <row r="1088" spans="1:8" x14ac:dyDescent="0.25">
      <c r="A1088" t="s">
        <v>478</v>
      </c>
      <c r="B1088" t="s">
        <v>479</v>
      </c>
      <c r="C1088" t="s">
        <v>1714</v>
      </c>
      <c r="D1088" t="s">
        <v>1792</v>
      </c>
      <c r="E1088" t="s">
        <v>479</v>
      </c>
      <c r="F1088" t="s">
        <v>3025</v>
      </c>
      <c r="G1088" t="s">
        <v>2037</v>
      </c>
      <c r="H1088" t="s">
        <v>2038</v>
      </c>
    </row>
    <row r="1089" spans="1:8" x14ac:dyDescent="0.25">
      <c r="A1089" t="s">
        <v>478</v>
      </c>
      <c r="B1089" t="s">
        <v>480</v>
      </c>
      <c r="C1089" t="s">
        <v>1716</v>
      </c>
      <c r="D1089" t="s">
        <v>1793</v>
      </c>
      <c r="E1089" t="s">
        <v>1103</v>
      </c>
      <c r="F1089" t="s">
        <v>3026</v>
      </c>
      <c r="G1089" t="s">
        <v>2037</v>
      </c>
      <c r="H1089" t="s">
        <v>2038</v>
      </c>
    </row>
    <row r="1090" spans="1:8" x14ac:dyDescent="0.25">
      <c r="A1090" t="s">
        <v>478</v>
      </c>
      <c r="B1090" t="s">
        <v>481</v>
      </c>
      <c r="C1090" t="s">
        <v>1718</v>
      </c>
      <c r="D1090" t="s">
        <v>1794</v>
      </c>
      <c r="E1090" t="s">
        <v>481</v>
      </c>
      <c r="F1090" t="s">
        <v>3027</v>
      </c>
      <c r="G1090" t="s">
        <v>2037</v>
      </c>
      <c r="H1090" t="s">
        <v>2038</v>
      </c>
    </row>
    <row r="1091" spans="1:8" x14ac:dyDescent="0.25">
      <c r="A1091" t="s">
        <v>478</v>
      </c>
      <c r="B1091" t="s">
        <v>482</v>
      </c>
      <c r="C1091" t="s">
        <v>1720</v>
      </c>
      <c r="D1091" t="s">
        <v>1795</v>
      </c>
      <c r="E1091" t="s">
        <v>482</v>
      </c>
      <c r="F1091" t="s">
        <v>3028</v>
      </c>
      <c r="G1091" t="s">
        <v>2037</v>
      </c>
      <c r="H1091" t="s">
        <v>2038</v>
      </c>
    </row>
    <row r="1092" spans="1:8" x14ac:dyDescent="0.25">
      <c r="A1092" t="s">
        <v>478</v>
      </c>
      <c r="B1092" t="s">
        <v>8</v>
      </c>
      <c r="C1092" t="s">
        <v>1110</v>
      </c>
      <c r="D1092" t="s">
        <v>1796</v>
      </c>
      <c r="E1092" t="s">
        <v>8</v>
      </c>
      <c r="F1092" t="s">
        <v>3029</v>
      </c>
      <c r="G1092" t="s">
        <v>2037</v>
      </c>
      <c r="H1092" t="s">
        <v>2038</v>
      </c>
    </row>
    <row r="1093" spans="1:8" x14ac:dyDescent="0.25">
      <c r="A1093" t="s">
        <v>478</v>
      </c>
      <c r="B1093" t="s">
        <v>14</v>
      </c>
      <c r="C1093" t="s">
        <v>661</v>
      </c>
      <c r="D1093" t="s">
        <v>1797</v>
      </c>
      <c r="E1093" t="s">
        <v>1724</v>
      </c>
      <c r="F1093" t="s">
        <v>3030</v>
      </c>
      <c r="G1093" t="s">
        <v>2037</v>
      </c>
      <c r="H1093" t="s">
        <v>2038</v>
      </c>
    </row>
    <row r="1094" spans="1:8" x14ac:dyDescent="0.25">
      <c r="D1094" t="s">
        <v>1798</v>
      </c>
      <c r="E1094" t="s">
        <v>1799</v>
      </c>
      <c r="F1094" t="s">
        <v>2079</v>
      </c>
    </row>
    <row r="1095" spans="1:8" x14ac:dyDescent="0.25">
      <c r="A1095" t="s">
        <v>483</v>
      </c>
      <c r="B1095" t="s">
        <v>16</v>
      </c>
      <c r="C1095" t="s">
        <v>1116</v>
      </c>
      <c r="D1095" t="s">
        <v>1800</v>
      </c>
      <c r="E1095" t="s">
        <v>16</v>
      </c>
      <c r="F1095" t="s">
        <v>3031</v>
      </c>
      <c r="G1095" t="s">
        <v>2037</v>
      </c>
      <c r="H1095" t="s">
        <v>2038</v>
      </c>
    </row>
    <row r="1096" spans="1:8" x14ac:dyDescent="0.25">
      <c r="A1096" t="s">
        <v>483</v>
      </c>
      <c r="B1096" t="s">
        <v>17</v>
      </c>
      <c r="C1096" t="s">
        <v>1728</v>
      </c>
      <c r="D1096" t="s">
        <v>1801</v>
      </c>
      <c r="E1096" t="s">
        <v>17</v>
      </c>
      <c r="F1096" t="s">
        <v>3032</v>
      </c>
      <c r="G1096" t="s">
        <v>2037</v>
      </c>
      <c r="H1096" t="s">
        <v>2038</v>
      </c>
    </row>
    <row r="1097" spans="1:8" x14ac:dyDescent="0.25">
      <c r="A1097" t="s">
        <v>483</v>
      </c>
      <c r="B1097" t="s">
        <v>484</v>
      </c>
      <c r="C1097" t="s">
        <v>673</v>
      </c>
      <c r="D1097" t="s">
        <v>1802</v>
      </c>
      <c r="E1097" t="s">
        <v>484</v>
      </c>
      <c r="F1097" t="s">
        <v>3033</v>
      </c>
      <c r="G1097" t="s">
        <v>2037</v>
      </c>
      <c r="H1097" t="s">
        <v>2038</v>
      </c>
    </row>
    <row r="1098" spans="1:8" x14ac:dyDescent="0.25">
      <c r="A1098" t="s">
        <v>483</v>
      </c>
      <c r="B1098" t="s">
        <v>485</v>
      </c>
      <c r="C1098" t="s">
        <v>675</v>
      </c>
      <c r="D1098" t="s">
        <v>1803</v>
      </c>
      <c r="E1098" t="s">
        <v>485</v>
      </c>
      <c r="F1098" t="s">
        <v>3034</v>
      </c>
      <c r="G1098" t="s">
        <v>2037</v>
      </c>
      <c r="H1098" t="s">
        <v>2038</v>
      </c>
    </row>
    <row r="1099" spans="1:8" x14ac:dyDescent="0.25">
      <c r="A1099" t="s">
        <v>483</v>
      </c>
      <c r="B1099" t="s">
        <v>486</v>
      </c>
      <c r="C1099" t="s">
        <v>677</v>
      </c>
      <c r="D1099" t="s">
        <v>1804</v>
      </c>
      <c r="E1099" t="s">
        <v>486</v>
      </c>
      <c r="F1099" t="s">
        <v>3035</v>
      </c>
      <c r="G1099" t="s">
        <v>2037</v>
      </c>
      <c r="H1099" t="s">
        <v>2038</v>
      </c>
    </row>
    <row r="1100" spans="1:8" x14ac:dyDescent="0.25">
      <c r="A1100" t="s">
        <v>483</v>
      </c>
      <c r="B1100" t="s">
        <v>487</v>
      </c>
      <c r="C1100" t="s">
        <v>679</v>
      </c>
      <c r="D1100" t="s">
        <v>1805</v>
      </c>
      <c r="E1100" t="s">
        <v>487</v>
      </c>
      <c r="F1100" t="s">
        <v>3036</v>
      </c>
      <c r="G1100" t="s">
        <v>2037</v>
      </c>
      <c r="H1100" t="s">
        <v>2038</v>
      </c>
    </row>
    <row r="1101" spans="1:8" x14ac:dyDescent="0.25">
      <c r="A1101" t="s">
        <v>483</v>
      </c>
      <c r="B1101" t="s">
        <v>488</v>
      </c>
      <c r="C1101" t="s">
        <v>1124</v>
      </c>
      <c r="D1101" t="s">
        <v>1806</v>
      </c>
      <c r="E1101" t="s">
        <v>488</v>
      </c>
      <c r="F1101" t="s">
        <v>3037</v>
      </c>
      <c r="G1101" t="s">
        <v>2037</v>
      </c>
      <c r="H1101" t="s">
        <v>2038</v>
      </c>
    </row>
    <row r="1102" spans="1:8" x14ac:dyDescent="0.25">
      <c r="A1102" t="s">
        <v>483</v>
      </c>
      <c r="B1102" t="s">
        <v>489</v>
      </c>
      <c r="C1102" t="s">
        <v>1126</v>
      </c>
      <c r="D1102" t="s">
        <v>1807</v>
      </c>
      <c r="E1102" t="s">
        <v>489</v>
      </c>
      <c r="F1102" t="s">
        <v>3038</v>
      </c>
      <c r="G1102" t="s">
        <v>2037</v>
      </c>
      <c r="H1102" t="s">
        <v>2038</v>
      </c>
    </row>
    <row r="1103" spans="1:8" x14ac:dyDescent="0.25">
      <c r="A1103" t="s">
        <v>483</v>
      </c>
      <c r="B1103" t="s">
        <v>490</v>
      </c>
      <c r="C1103" t="s">
        <v>671</v>
      </c>
      <c r="D1103" t="s">
        <v>1808</v>
      </c>
      <c r="E1103" t="s">
        <v>490</v>
      </c>
      <c r="F1103" t="s">
        <v>3039</v>
      </c>
      <c r="G1103" t="s">
        <v>2037</v>
      </c>
      <c r="H1103" t="s">
        <v>2038</v>
      </c>
    </row>
    <row r="1104" spans="1:8" x14ac:dyDescent="0.25">
      <c r="A1104" t="s">
        <v>483</v>
      </c>
      <c r="B1104" t="s">
        <v>491</v>
      </c>
      <c r="C1104" t="s">
        <v>671</v>
      </c>
      <c r="D1104" t="s">
        <v>1809</v>
      </c>
      <c r="E1104" t="s">
        <v>491</v>
      </c>
      <c r="F1104" t="s">
        <v>3040</v>
      </c>
      <c r="G1104" t="s">
        <v>2037</v>
      </c>
      <c r="H1104" t="s">
        <v>2038</v>
      </c>
    </row>
    <row r="1105" spans="1:8" x14ac:dyDescent="0.25">
      <c r="A1105" t="s">
        <v>483</v>
      </c>
      <c r="B1105" t="s">
        <v>492</v>
      </c>
      <c r="C1105" t="s">
        <v>1133</v>
      </c>
      <c r="D1105" t="s">
        <v>1810</v>
      </c>
      <c r="E1105" t="s">
        <v>492</v>
      </c>
      <c r="F1105" t="s">
        <v>3041</v>
      </c>
      <c r="G1105" t="s">
        <v>2037</v>
      </c>
      <c r="H1105" t="s">
        <v>2038</v>
      </c>
    </row>
    <row r="1106" spans="1:8" x14ac:dyDescent="0.25">
      <c r="A1106" t="s">
        <v>483</v>
      </c>
      <c r="B1106" t="s">
        <v>493</v>
      </c>
      <c r="C1106" t="s">
        <v>1131</v>
      </c>
      <c r="D1106" t="s">
        <v>1811</v>
      </c>
      <c r="E1106" t="s">
        <v>493</v>
      </c>
      <c r="F1106" t="s">
        <v>3042</v>
      </c>
      <c r="G1106" t="s">
        <v>2037</v>
      </c>
      <c r="H1106" t="s">
        <v>2038</v>
      </c>
    </row>
    <row r="1107" spans="1:8" x14ac:dyDescent="0.25">
      <c r="A1107" t="s">
        <v>483</v>
      </c>
      <c r="B1107" t="s">
        <v>26</v>
      </c>
      <c r="C1107" t="s">
        <v>685</v>
      </c>
      <c r="D1107" t="s">
        <v>1812</v>
      </c>
      <c r="E1107" t="s">
        <v>687</v>
      </c>
      <c r="F1107" t="s">
        <v>3043</v>
      </c>
      <c r="G1107" t="s">
        <v>2037</v>
      </c>
      <c r="H1107" t="s">
        <v>2038</v>
      </c>
    </row>
    <row r="1108" spans="1:8" x14ac:dyDescent="0.25">
      <c r="A1108" t="s">
        <v>477</v>
      </c>
      <c r="B1108" t="s">
        <v>27</v>
      </c>
      <c r="C1108" t="s">
        <v>688</v>
      </c>
      <c r="D1108" t="s">
        <v>1813</v>
      </c>
      <c r="E1108" t="s">
        <v>1813</v>
      </c>
      <c r="F1108" t="s">
        <v>3044</v>
      </c>
      <c r="G1108" t="s">
        <v>2037</v>
      </c>
      <c r="H1108" t="s">
        <v>2038</v>
      </c>
    </row>
    <row r="1109" spans="1:8" x14ac:dyDescent="0.25">
      <c r="A1109" t="s">
        <v>478</v>
      </c>
      <c r="B1109" t="s">
        <v>28</v>
      </c>
      <c r="C1109" t="s">
        <v>690</v>
      </c>
      <c r="F1109" t="s">
        <v>3045</v>
      </c>
      <c r="G1109" t="s">
        <v>2037</v>
      </c>
      <c r="H1109" t="s">
        <v>2038</v>
      </c>
    </row>
    <row r="1110" spans="1:8" x14ac:dyDescent="0.25">
      <c r="A1110" t="s">
        <v>478</v>
      </c>
      <c r="B1110" t="s">
        <v>29</v>
      </c>
      <c r="C1110" t="s">
        <v>693</v>
      </c>
      <c r="F1110" t="s">
        <v>3046</v>
      </c>
      <c r="G1110" t="s">
        <v>2037</v>
      </c>
      <c r="H1110" t="s">
        <v>2038</v>
      </c>
    </row>
    <row r="1111" spans="1:8" x14ac:dyDescent="0.25">
      <c r="A1111" t="s">
        <v>494</v>
      </c>
      <c r="B1111" t="s">
        <v>3</v>
      </c>
      <c r="C1111" t="s">
        <v>633</v>
      </c>
      <c r="D1111" t="s">
        <v>1814</v>
      </c>
      <c r="E1111" t="s">
        <v>635</v>
      </c>
      <c r="F1111" t="s">
        <v>3047</v>
      </c>
      <c r="G1111" t="s">
        <v>2037</v>
      </c>
      <c r="H1111" t="s">
        <v>2038</v>
      </c>
    </row>
    <row r="1112" spans="1:8" x14ac:dyDescent="0.25">
      <c r="A1112" t="s">
        <v>495</v>
      </c>
      <c r="B1112" t="s">
        <v>5</v>
      </c>
      <c r="C1112" t="s">
        <v>636</v>
      </c>
      <c r="D1112" t="s">
        <v>1815</v>
      </c>
      <c r="E1112" t="s">
        <v>638</v>
      </c>
      <c r="F1112" t="s">
        <v>3048</v>
      </c>
      <c r="G1112" t="s">
        <v>2037</v>
      </c>
      <c r="H1112" t="s">
        <v>2038</v>
      </c>
    </row>
    <row r="1113" spans="1:8" x14ac:dyDescent="0.25">
      <c r="A1113" t="s">
        <v>495</v>
      </c>
      <c r="B1113" t="s">
        <v>496</v>
      </c>
      <c r="C1113" t="s">
        <v>1714</v>
      </c>
      <c r="D1113" t="s">
        <v>1816</v>
      </c>
      <c r="E1113" t="s">
        <v>496</v>
      </c>
      <c r="F1113" t="s">
        <v>3049</v>
      </c>
      <c r="G1113" t="s">
        <v>2037</v>
      </c>
      <c r="H1113" t="s">
        <v>2038</v>
      </c>
    </row>
    <row r="1114" spans="1:8" x14ac:dyDescent="0.25">
      <c r="A1114" t="s">
        <v>495</v>
      </c>
      <c r="B1114" t="s">
        <v>497</v>
      </c>
      <c r="C1114" t="s">
        <v>1716</v>
      </c>
      <c r="D1114" t="s">
        <v>1817</v>
      </c>
      <c r="E1114" t="s">
        <v>1103</v>
      </c>
      <c r="F1114" t="s">
        <v>3050</v>
      </c>
      <c r="G1114" t="s">
        <v>2037</v>
      </c>
      <c r="H1114" t="s">
        <v>2038</v>
      </c>
    </row>
    <row r="1115" spans="1:8" x14ac:dyDescent="0.25">
      <c r="A1115" t="s">
        <v>495</v>
      </c>
      <c r="B1115" t="s">
        <v>498</v>
      </c>
      <c r="C1115" t="s">
        <v>1718</v>
      </c>
      <c r="D1115" t="s">
        <v>1818</v>
      </c>
      <c r="E1115" t="s">
        <v>498</v>
      </c>
      <c r="F1115" t="s">
        <v>3051</v>
      </c>
      <c r="G1115" t="s">
        <v>2037</v>
      </c>
      <c r="H1115" t="s">
        <v>2038</v>
      </c>
    </row>
    <row r="1116" spans="1:8" x14ac:dyDescent="0.25">
      <c r="A1116" t="s">
        <v>495</v>
      </c>
      <c r="B1116" t="s">
        <v>499</v>
      </c>
      <c r="C1116" t="s">
        <v>1720</v>
      </c>
      <c r="D1116" t="s">
        <v>1819</v>
      </c>
      <c r="E1116" t="s">
        <v>499</v>
      </c>
      <c r="F1116" t="s">
        <v>3052</v>
      </c>
      <c r="G1116" t="s">
        <v>2037</v>
      </c>
      <c r="H1116" t="s">
        <v>2038</v>
      </c>
    </row>
    <row r="1117" spans="1:8" x14ac:dyDescent="0.25">
      <c r="A1117" t="s">
        <v>495</v>
      </c>
      <c r="B1117" t="s">
        <v>8</v>
      </c>
      <c r="C1117" t="s">
        <v>1110</v>
      </c>
      <c r="D1117" t="s">
        <v>1820</v>
      </c>
      <c r="E1117" t="s">
        <v>8</v>
      </c>
      <c r="F1117" t="s">
        <v>3053</v>
      </c>
      <c r="G1117" t="s">
        <v>2037</v>
      </c>
      <c r="H1117" t="s">
        <v>2038</v>
      </c>
    </row>
    <row r="1118" spans="1:8" x14ac:dyDescent="0.25">
      <c r="A1118" t="s">
        <v>495</v>
      </c>
      <c r="B1118" t="s">
        <v>14</v>
      </c>
      <c r="C1118" t="s">
        <v>661</v>
      </c>
      <c r="D1118" t="s">
        <v>1821</v>
      </c>
      <c r="E1118" t="s">
        <v>1724</v>
      </c>
      <c r="F1118" t="s">
        <v>3054</v>
      </c>
      <c r="G1118" t="s">
        <v>2037</v>
      </c>
      <c r="H1118" t="s">
        <v>2038</v>
      </c>
    </row>
    <row r="1119" spans="1:8" x14ac:dyDescent="0.25">
      <c r="D1119" t="s">
        <v>1822</v>
      </c>
      <c r="E1119" t="s">
        <v>1823</v>
      </c>
      <c r="F1119" t="s">
        <v>2079</v>
      </c>
    </row>
    <row r="1120" spans="1:8" x14ac:dyDescent="0.25">
      <c r="A1120" t="s">
        <v>500</v>
      </c>
      <c r="B1120" t="s">
        <v>16</v>
      </c>
      <c r="C1120" t="s">
        <v>1116</v>
      </c>
      <c r="D1120" t="s">
        <v>1824</v>
      </c>
      <c r="E1120" t="s">
        <v>16</v>
      </c>
      <c r="F1120" t="s">
        <v>3055</v>
      </c>
      <c r="G1120" t="s">
        <v>2037</v>
      </c>
      <c r="H1120" t="s">
        <v>2038</v>
      </c>
    </row>
    <row r="1121" spans="1:8" x14ac:dyDescent="0.25">
      <c r="A1121" t="s">
        <v>500</v>
      </c>
      <c r="B1121" t="s">
        <v>17</v>
      </c>
      <c r="C1121" t="s">
        <v>1728</v>
      </c>
      <c r="D1121" t="s">
        <v>1825</v>
      </c>
      <c r="E1121" t="s">
        <v>17</v>
      </c>
      <c r="F1121" t="s">
        <v>3056</v>
      </c>
      <c r="G1121" t="s">
        <v>2037</v>
      </c>
      <c r="H1121" t="s">
        <v>2038</v>
      </c>
    </row>
    <row r="1122" spans="1:8" x14ac:dyDescent="0.25">
      <c r="A1122" t="s">
        <v>500</v>
      </c>
      <c r="B1122" t="s">
        <v>501</v>
      </c>
      <c r="C1122" t="s">
        <v>673</v>
      </c>
      <c r="D1122" t="s">
        <v>1826</v>
      </c>
      <c r="E1122" t="s">
        <v>501</v>
      </c>
      <c r="F1122" t="s">
        <v>3057</v>
      </c>
      <c r="G1122" t="s">
        <v>2037</v>
      </c>
      <c r="H1122" t="s">
        <v>2038</v>
      </c>
    </row>
    <row r="1123" spans="1:8" x14ac:dyDescent="0.25">
      <c r="A1123" t="s">
        <v>500</v>
      </c>
      <c r="B1123" t="s">
        <v>502</v>
      </c>
      <c r="C1123" t="s">
        <v>675</v>
      </c>
      <c r="D1123" t="s">
        <v>1827</v>
      </c>
      <c r="E1123" t="s">
        <v>502</v>
      </c>
      <c r="F1123" t="s">
        <v>3058</v>
      </c>
      <c r="G1123" t="s">
        <v>2037</v>
      </c>
      <c r="H1123" t="s">
        <v>2038</v>
      </c>
    </row>
    <row r="1124" spans="1:8" x14ac:dyDescent="0.25">
      <c r="A1124" t="s">
        <v>500</v>
      </c>
      <c r="B1124" t="s">
        <v>503</v>
      </c>
      <c r="C1124" t="s">
        <v>677</v>
      </c>
      <c r="D1124" t="s">
        <v>1828</v>
      </c>
      <c r="E1124" t="s">
        <v>503</v>
      </c>
      <c r="F1124" t="s">
        <v>3059</v>
      </c>
      <c r="G1124" t="s">
        <v>2037</v>
      </c>
      <c r="H1124" t="s">
        <v>2038</v>
      </c>
    </row>
    <row r="1125" spans="1:8" x14ac:dyDescent="0.25">
      <c r="A1125" t="s">
        <v>500</v>
      </c>
      <c r="B1125" t="s">
        <v>504</v>
      </c>
      <c r="C1125" t="s">
        <v>679</v>
      </c>
      <c r="D1125" t="s">
        <v>1829</v>
      </c>
      <c r="E1125" t="s">
        <v>504</v>
      </c>
      <c r="F1125" t="s">
        <v>3060</v>
      </c>
      <c r="G1125" t="s">
        <v>2037</v>
      </c>
      <c r="H1125" t="s">
        <v>2038</v>
      </c>
    </row>
    <row r="1126" spans="1:8" x14ac:dyDescent="0.25">
      <c r="A1126" t="s">
        <v>500</v>
      </c>
      <c r="B1126" t="s">
        <v>505</v>
      </c>
      <c r="C1126" t="s">
        <v>1124</v>
      </c>
      <c r="D1126" t="s">
        <v>1830</v>
      </c>
      <c r="E1126" t="s">
        <v>505</v>
      </c>
      <c r="F1126" t="s">
        <v>3061</v>
      </c>
      <c r="G1126" t="s">
        <v>2037</v>
      </c>
      <c r="H1126" t="s">
        <v>2038</v>
      </c>
    </row>
    <row r="1127" spans="1:8" x14ac:dyDescent="0.25">
      <c r="A1127" t="s">
        <v>500</v>
      </c>
      <c r="B1127" t="s">
        <v>506</v>
      </c>
      <c r="C1127" t="s">
        <v>1126</v>
      </c>
      <c r="D1127" t="s">
        <v>1831</v>
      </c>
      <c r="E1127" t="s">
        <v>506</v>
      </c>
      <c r="F1127" t="s">
        <v>3062</v>
      </c>
      <c r="G1127" t="s">
        <v>2037</v>
      </c>
      <c r="H1127" t="s">
        <v>2038</v>
      </c>
    </row>
    <row r="1128" spans="1:8" x14ac:dyDescent="0.25">
      <c r="A1128" t="s">
        <v>500</v>
      </c>
      <c r="B1128" t="s">
        <v>507</v>
      </c>
      <c r="C1128" t="s">
        <v>671</v>
      </c>
      <c r="D1128" t="s">
        <v>1832</v>
      </c>
      <c r="E1128" t="s">
        <v>507</v>
      </c>
      <c r="F1128" t="s">
        <v>3063</v>
      </c>
      <c r="G1128" t="s">
        <v>2037</v>
      </c>
      <c r="H1128" t="s">
        <v>2038</v>
      </c>
    </row>
    <row r="1129" spans="1:8" x14ac:dyDescent="0.25">
      <c r="A1129" t="s">
        <v>500</v>
      </c>
      <c r="B1129" t="s">
        <v>508</v>
      </c>
      <c r="C1129" t="s">
        <v>671</v>
      </c>
      <c r="D1129" t="s">
        <v>1833</v>
      </c>
      <c r="E1129" t="s">
        <v>508</v>
      </c>
      <c r="F1129" t="s">
        <v>3064</v>
      </c>
      <c r="G1129" t="s">
        <v>2037</v>
      </c>
      <c r="H1129" t="s">
        <v>2038</v>
      </c>
    </row>
    <row r="1130" spans="1:8" x14ac:dyDescent="0.25">
      <c r="A1130" t="s">
        <v>500</v>
      </c>
      <c r="B1130" t="s">
        <v>509</v>
      </c>
      <c r="C1130" t="s">
        <v>1133</v>
      </c>
      <c r="D1130" t="s">
        <v>1834</v>
      </c>
      <c r="E1130" t="s">
        <v>509</v>
      </c>
      <c r="F1130" t="s">
        <v>3065</v>
      </c>
      <c r="G1130" t="s">
        <v>2037</v>
      </c>
      <c r="H1130" t="s">
        <v>2038</v>
      </c>
    </row>
    <row r="1131" spans="1:8" x14ac:dyDescent="0.25">
      <c r="A1131" t="s">
        <v>500</v>
      </c>
      <c r="B1131" t="s">
        <v>510</v>
      </c>
      <c r="C1131" t="s">
        <v>1131</v>
      </c>
      <c r="D1131" t="s">
        <v>1835</v>
      </c>
      <c r="E1131" t="s">
        <v>510</v>
      </c>
      <c r="F1131" t="s">
        <v>3066</v>
      </c>
      <c r="G1131" t="s">
        <v>2037</v>
      </c>
      <c r="H1131" t="s">
        <v>2038</v>
      </c>
    </row>
    <row r="1132" spans="1:8" x14ac:dyDescent="0.25">
      <c r="A1132" t="s">
        <v>500</v>
      </c>
      <c r="B1132" t="s">
        <v>26</v>
      </c>
      <c r="C1132" t="s">
        <v>685</v>
      </c>
      <c r="D1132" t="s">
        <v>1836</v>
      </c>
      <c r="E1132" t="s">
        <v>687</v>
      </c>
      <c r="F1132" t="s">
        <v>3067</v>
      </c>
      <c r="G1132" t="s">
        <v>2037</v>
      </c>
      <c r="H1132" t="s">
        <v>2038</v>
      </c>
    </row>
    <row r="1133" spans="1:8" x14ac:dyDescent="0.25">
      <c r="A1133" t="s">
        <v>494</v>
      </c>
      <c r="B1133" t="s">
        <v>27</v>
      </c>
      <c r="C1133" t="s">
        <v>688</v>
      </c>
      <c r="D1133" t="s">
        <v>1837</v>
      </c>
      <c r="E1133" t="s">
        <v>1837</v>
      </c>
      <c r="F1133" t="s">
        <v>3068</v>
      </c>
      <c r="G1133" t="s">
        <v>2037</v>
      </c>
      <c r="H1133" t="s">
        <v>2038</v>
      </c>
    </row>
    <row r="1134" spans="1:8" x14ac:dyDescent="0.25">
      <c r="A1134" t="s">
        <v>495</v>
      </c>
      <c r="B1134" t="s">
        <v>28</v>
      </c>
      <c r="C1134" t="s">
        <v>690</v>
      </c>
      <c r="F1134" t="s">
        <v>3069</v>
      </c>
      <c r="G1134" t="s">
        <v>2037</v>
      </c>
      <c r="H1134" t="s">
        <v>2038</v>
      </c>
    </row>
    <row r="1135" spans="1:8" x14ac:dyDescent="0.25">
      <c r="A1135" t="s">
        <v>495</v>
      </c>
      <c r="B1135" t="s">
        <v>29</v>
      </c>
      <c r="C1135" t="s">
        <v>693</v>
      </c>
      <c r="F1135" t="s">
        <v>3070</v>
      </c>
      <c r="G1135" t="s">
        <v>2037</v>
      </c>
      <c r="H1135" t="s">
        <v>2038</v>
      </c>
    </row>
    <row r="1136" spans="1:8" x14ac:dyDescent="0.25">
      <c r="A1136" t="s">
        <v>511</v>
      </c>
      <c r="B1136" t="s">
        <v>3</v>
      </c>
      <c r="C1136" t="s">
        <v>633</v>
      </c>
      <c r="D1136" t="s">
        <v>1838</v>
      </c>
      <c r="E1136" t="s">
        <v>635</v>
      </c>
      <c r="F1136" t="s">
        <v>3071</v>
      </c>
      <c r="G1136" t="s">
        <v>2037</v>
      </c>
      <c r="H1136" t="s">
        <v>2038</v>
      </c>
    </row>
    <row r="1137" spans="1:8" x14ac:dyDescent="0.25">
      <c r="A1137" t="s">
        <v>512</v>
      </c>
      <c r="B1137" t="s">
        <v>5</v>
      </c>
      <c r="C1137" t="s">
        <v>636</v>
      </c>
      <c r="D1137" t="s">
        <v>1839</v>
      </c>
      <c r="E1137" t="s">
        <v>638</v>
      </c>
      <c r="F1137" t="s">
        <v>3072</v>
      </c>
      <c r="G1137" t="s">
        <v>2037</v>
      </c>
      <c r="H1137" t="s">
        <v>2038</v>
      </c>
    </row>
    <row r="1138" spans="1:8" x14ac:dyDescent="0.25">
      <c r="A1138" t="s">
        <v>512</v>
      </c>
      <c r="B1138" t="s">
        <v>513</v>
      </c>
      <c r="C1138" t="s">
        <v>1714</v>
      </c>
      <c r="D1138" t="s">
        <v>1840</v>
      </c>
      <c r="E1138" t="s">
        <v>513</v>
      </c>
      <c r="F1138" t="s">
        <v>3073</v>
      </c>
      <c r="G1138" t="s">
        <v>2037</v>
      </c>
      <c r="H1138" t="s">
        <v>2038</v>
      </c>
    </row>
    <row r="1139" spans="1:8" x14ac:dyDescent="0.25">
      <c r="A1139" t="s">
        <v>512</v>
      </c>
      <c r="B1139" t="s">
        <v>514</v>
      </c>
      <c r="C1139" t="s">
        <v>1716</v>
      </c>
      <c r="D1139" t="s">
        <v>1841</v>
      </c>
      <c r="E1139" t="s">
        <v>1103</v>
      </c>
      <c r="F1139" t="s">
        <v>3074</v>
      </c>
      <c r="G1139" t="s">
        <v>2037</v>
      </c>
      <c r="H1139" t="s">
        <v>2038</v>
      </c>
    </row>
    <row r="1140" spans="1:8" x14ac:dyDescent="0.25">
      <c r="A1140" t="s">
        <v>512</v>
      </c>
      <c r="B1140" t="s">
        <v>515</v>
      </c>
      <c r="C1140" t="s">
        <v>1718</v>
      </c>
      <c r="D1140" t="s">
        <v>1842</v>
      </c>
      <c r="E1140" t="s">
        <v>515</v>
      </c>
      <c r="F1140" t="s">
        <v>3075</v>
      </c>
      <c r="G1140" t="s">
        <v>2037</v>
      </c>
      <c r="H1140" t="s">
        <v>2038</v>
      </c>
    </row>
    <row r="1141" spans="1:8" x14ac:dyDescent="0.25">
      <c r="A1141" t="s">
        <v>512</v>
      </c>
      <c r="B1141" t="s">
        <v>516</v>
      </c>
      <c r="C1141" t="s">
        <v>1720</v>
      </c>
      <c r="D1141" t="s">
        <v>1843</v>
      </c>
      <c r="E1141" t="s">
        <v>516</v>
      </c>
      <c r="F1141" t="s">
        <v>3076</v>
      </c>
      <c r="G1141" t="s">
        <v>2037</v>
      </c>
      <c r="H1141" t="s">
        <v>2038</v>
      </c>
    </row>
    <row r="1142" spans="1:8" x14ac:dyDescent="0.25">
      <c r="A1142" t="s">
        <v>512</v>
      </c>
      <c r="B1142" t="s">
        <v>8</v>
      </c>
      <c r="C1142" t="s">
        <v>1110</v>
      </c>
      <c r="D1142" t="s">
        <v>1844</v>
      </c>
      <c r="E1142" t="s">
        <v>8</v>
      </c>
      <c r="F1142" t="s">
        <v>3077</v>
      </c>
      <c r="G1142" t="s">
        <v>2037</v>
      </c>
      <c r="H1142" t="s">
        <v>2038</v>
      </c>
    </row>
    <row r="1143" spans="1:8" x14ac:dyDescent="0.25">
      <c r="A1143" t="s">
        <v>512</v>
      </c>
      <c r="B1143" t="s">
        <v>14</v>
      </c>
      <c r="C1143" t="s">
        <v>661</v>
      </c>
      <c r="D1143" t="s">
        <v>1845</v>
      </c>
      <c r="E1143" t="s">
        <v>1724</v>
      </c>
      <c r="F1143" t="s">
        <v>3078</v>
      </c>
      <c r="G1143" t="s">
        <v>2037</v>
      </c>
      <c r="H1143" t="s">
        <v>2038</v>
      </c>
    </row>
    <row r="1144" spans="1:8" x14ac:dyDescent="0.25">
      <c r="D1144" t="s">
        <v>1846</v>
      </c>
      <c r="E1144" t="s">
        <v>1847</v>
      </c>
      <c r="F1144" t="s">
        <v>2079</v>
      </c>
    </row>
    <row r="1145" spans="1:8" x14ac:dyDescent="0.25">
      <c r="A1145" t="s">
        <v>517</v>
      </c>
      <c r="B1145" t="s">
        <v>16</v>
      </c>
      <c r="C1145" t="s">
        <v>1116</v>
      </c>
      <c r="D1145" t="s">
        <v>1848</v>
      </c>
      <c r="E1145" t="s">
        <v>16</v>
      </c>
      <c r="F1145" t="s">
        <v>3079</v>
      </c>
      <c r="G1145" t="s">
        <v>2037</v>
      </c>
      <c r="H1145" t="s">
        <v>2038</v>
      </c>
    </row>
    <row r="1146" spans="1:8" x14ac:dyDescent="0.25">
      <c r="A1146" t="s">
        <v>517</v>
      </c>
      <c r="B1146" t="s">
        <v>17</v>
      </c>
      <c r="C1146" t="s">
        <v>1728</v>
      </c>
      <c r="D1146" t="s">
        <v>1849</v>
      </c>
      <c r="E1146" t="s">
        <v>17</v>
      </c>
      <c r="F1146" t="s">
        <v>3080</v>
      </c>
      <c r="G1146" t="s">
        <v>2037</v>
      </c>
      <c r="H1146" t="s">
        <v>2038</v>
      </c>
    </row>
    <row r="1147" spans="1:8" x14ac:dyDescent="0.25">
      <c r="A1147" t="s">
        <v>517</v>
      </c>
      <c r="B1147" t="s">
        <v>518</v>
      </c>
      <c r="C1147" t="s">
        <v>673</v>
      </c>
      <c r="D1147" t="s">
        <v>1850</v>
      </c>
      <c r="E1147" t="s">
        <v>518</v>
      </c>
      <c r="F1147" t="s">
        <v>3081</v>
      </c>
      <c r="G1147" t="s">
        <v>2037</v>
      </c>
      <c r="H1147" t="s">
        <v>2038</v>
      </c>
    </row>
    <row r="1148" spans="1:8" x14ac:dyDescent="0.25">
      <c r="A1148" t="s">
        <v>517</v>
      </c>
      <c r="B1148" t="s">
        <v>519</v>
      </c>
      <c r="C1148" t="s">
        <v>675</v>
      </c>
      <c r="D1148" t="s">
        <v>1851</v>
      </c>
      <c r="E1148" t="s">
        <v>519</v>
      </c>
      <c r="F1148" t="s">
        <v>3082</v>
      </c>
      <c r="G1148" t="s">
        <v>2037</v>
      </c>
      <c r="H1148" t="s">
        <v>2038</v>
      </c>
    </row>
    <row r="1149" spans="1:8" x14ac:dyDescent="0.25">
      <c r="A1149" t="s">
        <v>517</v>
      </c>
      <c r="B1149" t="s">
        <v>520</v>
      </c>
      <c r="C1149" t="s">
        <v>677</v>
      </c>
      <c r="D1149" t="s">
        <v>1852</v>
      </c>
      <c r="E1149" t="s">
        <v>520</v>
      </c>
      <c r="F1149" t="s">
        <v>3083</v>
      </c>
      <c r="G1149" t="s">
        <v>2037</v>
      </c>
      <c r="H1149" t="s">
        <v>2038</v>
      </c>
    </row>
    <row r="1150" spans="1:8" x14ac:dyDescent="0.25">
      <c r="A1150" t="s">
        <v>517</v>
      </c>
      <c r="B1150" t="s">
        <v>521</v>
      </c>
      <c r="C1150" t="s">
        <v>679</v>
      </c>
      <c r="D1150" t="s">
        <v>1853</v>
      </c>
      <c r="E1150" t="s">
        <v>521</v>
      </c>
      <c r="F1150" t="s">
        <v>3084</v>
      </c>
      <c r="G1150" t="s">
        <v>2037</v>
      </c>
      <c r="H1150" t="s">
        <v>2038</v>
      </c>
    </row>
    <row r="1151" spans="1:8" x14ac:dyDescent="0.25">
      <c r="A1151" t="s">
        <v>517</v>
      </c>
      <c r="B1151" t="s">
        <v>522</v>
      </c>
      <c r="C1151" t="s">
        <v>1124</v>
      </c>
      <c r="D1151" t="s">
        <v>1854</v>
      </c>
      <c r="E1151" t="s">
        <v>522</v>
      </c>
      <c r="F1151" t="s">
        <v>3085</v>
      </c>
      <c r="G1151" t="s">
        <v>2037</v>
      </c>
      <c r="H1151" t="s">
        <v>2038</v>
      </c>
    </row>
    <row r="1152" spans="1:8" x14ac:dyDescent="0.25">
      <c r="A1152" t="s">
        <v>517</v>
      </c>
      <c r="B1152" t="s">
        <v>523</v>
      </c>
      <c r="C1152" t="s">
        <v>1126</v>
      </c>
      <c r="D1152" t="s">
        <v>1855</v>
      </c>
      <c r="E1152" t="s">
        <v>523</v>
      </c>
      <c r="F1152" t="s">
        <v>3086</v>
      </c>
      <c r="G1152" t="s">
        <v>2037</v>
      </c>
      <c r="H1152" t="s">
        <v>2038</v>
      </c>
    </row>
    <row r="1153" spans="1:8" x14ac:dyDescent="0.25">
      <c r="A1153" t="s">
        <v>517</v>
      </c>
      <c r="B1153" t="s">
        <v>524</v>
      </c>
      <c r="C1153" t="s">
        <v>671</v>
      </c>
      <c r="D1153" t="s">
        <v>1856</v>
      </c>
      <c r="E1153" t="s">
        <v>524</v>
      </c>
      <c r="F1153" t="s">
        <v>3087</v>
      </c>
      <c r="G1153" t="s">
        <v>2037</v>
      </c>
      <c r="H1153" t="s">
        <v>2038</v>
      </c>
    </row>
    <row r="1154" spans="1:8" x14ac:dyDescent="0.25">
      <c r="A1154" t="s">
        <v>517</v>
      </c>
      <c r="B1154" t="s">
        <v>525</v>
      </c>
      <c r="C1154" t="s">
        <v>671</v>
      </c>
      <c r="D1154" t="s">
        <v>1857</v>
      </c>
      <c r="E1154" t="s">
        <v>525</v>
      </c>
      <c r="F1154" t="s">
        <v>3088</v>
      </c>
      <c r="G1154" t="s">
        <v>2037</v>
      </c>
      <c r="H1154" t="s">
        <v>2038</v>
      </c>
    </row>
    <row r="1155" spans="1:8" x14ac:dyDescent="0.25">
      <c r="A1155" t="s">
        <v>517</v>
      </c>
      <c r="B1155" t="s">
        <v>526</v>
      </c>
      <c r="C1155" t="s">
        <v>1133</v>
      </c>
      <c r="D1155" t="s">
        <v>1858</v>
      </c>
      <c r="E1155" t="s">
        <v>526</v>
      </c>
      <c r="F1155" t="s">
        <v>3089</v>
      </c>
      <c r="G1155" t="s">
        <v>2037</v>
      </c>
      <c r="H1155" t="s">
        <v>2038</v>
      </c>
    </row>
    <row r="1156" spans="1:8" x14ac:dyDescent="0.25">
      <c r="A1156" t="s">
        <v>517</v>
      </c>
      <c r="B1156" t="s">
        <v>527</v>
      </c>
      <c r="C1156" t="s">
        <v>1131</v>
      </c>
      <c r="D1156" t="s">
        <v>1859</v>
      </c>
      <c r="E1156" t="s">
        <v>527</v>
      </c>
      <c r="F1156" t="s">
        <v>3090</v>
      </c>
      <c r="G1156" t="s">
        <v>2037</v>
      </c>
      <c r="H1156" t="s">
        <v>2038</v>
      </c>
    </row>
    <row r="1157" spans="1:8" x14ac:dyDescent="0.25">
      <c r="A1157" t="s">
        <v>517</v>
      </c>
      <c r="B1157" t="s">
        <v>26</v>
      </c>
      <c r="C1157" t="s">
        <v>685</v>
      </c>
      <c r="D1157" t="s">
        <v>1860</v>
      </c>
      <c r="E1157" t="s">
        <v>687</v>
      </c>
      <c r="F1157" t="s">
        <v>3091</v>
      </c>
      <c r="G1157" t="s">
        <v>2037</v>
      </c>
      <c r="H1157" t="s">
        <v>2038</v>
      </c>
    </row>
    <row r="1158" spans="1:8" x14ac:dyDescent="0.25">
      <c r="A1158" t="s">
        <v>511</v>
      </c>
      <c r="B1158" t="s">
        <v>27</v>
      </c>
      <c r="C1158" t="s">
        <v>688</v>
      </c>
      <c r="D1158" t="s">
        <v>1861</v>
      </c>
      <c r="E1158" t="s">
        <v>1861</v>
      </c>
      <c r="F1158" t="s">
        <v>3092</v>
      </c>
      <c r="G1158" t="s">
        <v>2037</v>
      </c>
      <c r="H1158" t="s">
        <v>2038</v>
      </c>
    </row>
    <row r="1159" spans="1:8" x14ac:dyDescent="0.25">
      <c r="A1159" t="s">
        <v>512</v>
      </c>
      <c r="B1159" t="s">
        <v>28</v>
      </c>
      <c r="C1159" t="s">
        <v>690</v>
      </c>
      <c r="F1159" t="s">
        <v>3093</v>
      </c>
      <c r="G1159" t="s">
        <v>2037</v>
      </c>
      <c r="H1159" t="s">
        <v>2038</v>
      </c>
    </row>
    <row r="1160" spans="1:8" x14ac:dyDescent="0.25">
      <c r="A1160" t="s">
        <v>512</v>
      </c>
      <c r="B1160" t="s">
        <v>29</v>
      </c>
      <c r="C1160" t="s">
        <v>693</v>
      </c>
      <c r="F1160" t="s">
        <v>3094</v>
      </c>
      <c r="G1160" t="s">
        <v>2037</v>
      </c>
      <c r="H1160" t="s">
        <v>2038</v>
      </c>
    </row>
    <row r="1161" spans="1:8" x14ac:dyDescent="0.25">
      <c r="A1161" t="s">
        <v>528</v>
      </c>
      <c r="B1161" t="s">
        <v>3</v>
      </c>
      <c r="C1161" t="s">
        <v>633</v>
      </c>
      <c r="D1161" t="s">
        <v>1862</v>
      </c>
      <c r="E1161" t="s">
        <v>635</v>
      </c>
      <c r="F1161" t="s">
        <v>3095</v>
      </c>
      <c r="G1161" t="s">
        <v>2037</v>
      </c>
      <c r="H1161" t="s">
        <v>2038</v>
      </c>
    </row>
    <row r="1162" spans="1:8" x14ac:dyDescent="0.25">
      <c r="A1162" t="s">
        <v>529</v>
      </c>
      <c r="B1162" t="s">
        <v>5</v>
      </c>
      <c r="C1162" t="s">
        <v>636</v>
      </c>
      <c r="D1162" t="s">
        <v>1863</v>
      </c>
      <c r="E1162" t="s">
        <v>638</v>
      </c>
      <c r="F1162" t="s">
        <v>3096</v>
      </c>
      <c r="G1162" t="s">
        <v>2037</v>
      </c>
      <c r="H1162" t="s">
        <v>2038</v>
      </c>
    </row>
    <row r="1163" spans="1:8" x14ac:dyDescent="0.25">
      <c r="A1163" t="s">
        <v>529</v>
      </c>
      <c r="B1163" t="s">
        <v>530</v>
      </c>
      <c r="C1163" t="s">
        <v>1714</v>
      </c>
      <c r="D1163" t="s">
        <v>1864</v>
      </c>
      <c r="E1163" t="s">
        <v>530</v>
      </c>
      <c r="F1163" t="s">
        <v>3097</v>
      </c>
      <c r="G1163" t="s">
        <v>2037</v>
      </c>
      <c r="H1163" t="s">
        <v>2038</v>
      </c>
    </row>
    <row r="1164" spans="1:8" x14ac:dyDescent="0.25">
      <c r="A1164" t="s">
        <v>529</v>
      </c>
      <c r="B1164" t="s">
        <v>531</v>
      </c>
      <c r="C1164" t="s">
        <v>1716</v>
      </c>
      <c r="D1164" t="s">
        <v>1865</v>
      </c>
      <c r="E1164" t="s">
        <v>1103</v>
      </c>
      <c r="F1164" t="s">
        <v>3098</v>
      </c>
      <c r="G1164" t="s">
        <v>2037</v>
      </c>
      <c r="H1164" t="s">
        <v>2038</v>
      </c>
    </row>
    <row r="1165" spans="1:8" x14ac:dyDescent="0.25">
      <c r="A1165" t="s">
        <v>529</v>
      </c>
      <c r="B1165" t="s">
        <v>532</v>
      </c>
      <c r="C1165" t="s">
        <v>1718</v>
      </c>
      <c r="D1165" t="s">
        <v>1866</v>
      </c>
      <c r="E1165" t="s">
        <v>532</v>
      </c>
      <c r="F1165" t="s">
        <v>3099</v>
      </c>
      <c r="G1165" t="s">
        <v>2037</v>
      </c>
      <c r="H1165" t="s">
        <v>2038</v>
      </c>
    </row>
    <row r="1166" spans="1:8" x14ac:dyDescent="0.25">
      <c r="A1166" t="s">
        <v>529</v>
      </c>
      <c r="B1166" t="s">
        <v>533</v>
      </c>
      <c r="C1166" t="s">
        <v>1720</v>
      </c>
      <c r="D1166" t="s">
        <v>1867</v>
      </c>
      <c r="E1166" t="s">
        <v>533</v>
      </c>
      <c r="F1166" t="s">
        <v>3100</v>
      </c>
      <c r="G1166" t="s">
        <v>2037</v>
      </c>
      <c r="H1166" t="s">
        <v>2038</v>
      </c>
    </row>
    <row r="1167" spans="1:8" x14ac:dyDescent="0.25">
      <c r="A1167" t="s">
        <v>529</v>
      </c>
      <c r="B1167" t="s">
        <v>8</v>
      </c>
      <c r="C1167" t="s">
        <v>1110</v>
      </c>
      <c r="D1167" t="s">
        <v>1868</v>
      </c>
      <c r="E1167" t="s">
        <v>8</v>
      </c>
      <c r="F1167" t="s">
        <v>3101</v>
      </c>
      <c r="G1167" t="s">
        <v>2037</v>
      </c>
      <c r="H1167" t="s">
        <v>2038</v>
      </c>
    </row>
    <row r="1168" spans="1:8" x14ac:dyDescent="0.25">
      <c r="A1168" t="s">
        <v>529</v>
      </c>
      <c r="B1168" t="s">
        <v>14</v>
      </c>
      <c r="C1168" t="s">
        <v>661</v>
      </c>
      <c r="D1168" t="s">
        <v>1869</v>
      </c>
      <c r="E1168" t="s">
        <v>1724</v>
      </c>
      <c r="F1168" t="s">
        <v>3102</v>
      </c>
      <c r="G1168" t="s">
        <v>2037</v>
      </c>
      <c r="H1168" t="s">
        <v>2038</v>
      </c>
    </row>
    <row r="1169" spans="1:8" x14ac:dyDescent="0.25">
      <c r="D1169" t="s">
        <v>1870</v>
      </c>
      <c r="E1169" t="s">
        <v>1871</v>
      </c>
      <c r="F1169" t="s">
        <v>2079</v>
      </c>
    </row>
    <row r="1170" spans="1:8" x14ac:dyDescent="0.25">
      <c r="A1170" t="s">
        <v>534</v>
      </c>
      <c r="B1170" t="s">
        <v>16</v>
      </c>
      <c r="C1170" t="s">
        <v>1116</v>
      </c>
      <c r="D1170" t="s">
        <v>1872</v>
      </c>
      <c r="E1170" t="s">
        <v>16</v>
      </c>
      <c r="F1170" t="s">
        <v>3103</v>
      </c>
      <c r="G1170" t="s">
        <v>2037</v>
      </c>
      <c r="H1170" t="s">
        <v>2038</v>
      </c>
    </row>
    <row r="1171" spans="1:8" x14ac:dyDescent="0.25">
      <c r="A1171" t="s">
        <v>534</v>
      </c>
      <c r="B1171" t="s">
        <v>17</v>
      </c>
      <c r="C1171" t="s">
        <v>1728</v>
      </c>
      <c r="D1171" t="s">
        <v>1873</v>
      </c>
      <c r="E1171" t="s">
        <v>17</v>
      </c>
      <c r="F1171" t="s">
        <v>3104</v>
      </c>
      <c r="G1171" t="s">
        <v>2037</v>
      </c>
      <c r="H1171" t="s">
        <v>2038</v>
      </c>
    </row>
    <row r="1172" spans="1:8" x14ac:dyDescent="0.25">
      <c r="A1172" t="s">
        <v>534</v>
      </c>
      <c r="B1172" t="s">
        <v>535</v>
      </c>
      <c r="C1172" t="s">
        <v>673</v>
      </c>
      <c r="D1172" t="s">
        <v>1874</v>
      </c>
      <c r="E1172" t="s">
        <v>535</v>
      </c>
      <c r="F1172" t="s">
        <v>3105</v>
      </c>
      <c r="G1172" t="s">
        <v>2037</v>
      </c>
      <c r="H1172" t="s">
        <v>2038</v>
      </c>
    </row>
    <row r="1173" spans="1:8" x14ac:dyDescent="0.25">
      <c r="A1173" t="s">
        <v>534</v>
      </c>
      <c r="B1173" t="s">
        <v>536</v>
      </c>
      <c r="C1173" t="s">
        <v>675</v>
      </c>
      <c r="D1173" t="s">
        <v>1875</v>
      </c>
      <c r="E1173" t="s">
        <v>536</v>
      </c>
      <c r="F1173" t="s">
        <v>3106</v>
      </c>
      <c r="G1173" t="s">
        <v>2037</v>
      </c>
      <c r="H1173" t="s">
        <v>2038</v>
      </c>
    </row>
    <row r="1174" spans="1:8" x14ac:dyDescent="0.25">
      <c r="A1174" t="s">
        <v>534</v>
      </c>
      <c r="B1174" t="s">
        <v>537</v>
      </c>
      <c r="C1174" t="s">
        <v>677</v>
      </c>
      <c r="D1174" t="s">
        <v>1876</v>
      </c>
      <c r="E1174" t="s">
        <v>537</v>
      </c>
      <c r="F1174" t="s">
        <v>3107</v>
      </c>
      <c r="G1174" t="s">
        <v>2037</v>
      </c>
      <c r="H1174" t="s">
        <v>2038</v>
      </c>
    </row>
    <row r="1175" spans="1:8" x14ac:dyDescent="0.25">
      <c r="A1175" t="s">
        <v>534</v>
      </c>
      <c r="B1175" t="s">
        <v>538</v>
      </c>
      <c r="C1175" t="s">
        <v>679</v>
      </c>
      <c r="D1175" t="s">
        <v>1877</v>
      </c>
      <c r="E1175" t="s">
        <v>538</v>
      </c>
      <c r="F1175" t="s">
        <v>3108</v>
      </c>
      <c r="G1175" t="s">
        <v>2037</v>
      </c>
      <c r="H1175" t="s">
        <v>2038</v>
      </c>
    </row>
    <row r="1176" spans="1:8" x14ac:dyDescent="0.25">
      <c r="A1176" t="s">
        <v>534</v>
      </c>
      <c r="B1176" t="s">
        <v>539</v>
      </c>
      <c r="C1176" t="s">
        <v>1124</v>
      </c>
      <c r="D1176" t="s">
        <v>1878</v>
      </c>
      <c r="E1176" t="s">
        <v>539</v>
      </c>
      <c r="F1176" t="s">
        <v>3109</v>
      </c>
      <c r="G1176" t="s">
        <v>2037</v>
      </c>
      <c r="H1176" t="s">
        <v>2038</v>
      </c>
    </row>
    <row r="1177" spans="1:8" x14ac:dyDescent="0.25">
      <c r="A1177" t="s">
        <v>534</v>
      </c>
      <c r="B1177" t="s">
        <v>540</v>
      </c>
      <c r="C1177" t="s">
        <v>1126</v>
      </c>
      <c r="D1177" t="s">
        <v>1879</v>
      </c>
      <c r="E1177" t="s">
        <v>540</v>
      </c>
      <c r="F1177" t="s">
        <v>3110</v>
      </c>
      <c r="G1177" t="s">
        <v>2037</v>
      </c>
      <c r="H1177" t="s">
        <v>2038</v>
      </c>
    </row>
    <row r="1178" spans="1:8" x14ac:dyDescent="0.25">
      <c r="A1178" t="s">
        <v>534</v>
      </c>
      <c r="B1178" t="s">
        <v>541</v>
      </c>
      <c r="C1178" t="s">
        <v>671</v>
      </c>
      <c r="D1178" t="s">
        <v>1880</v>
      </c>
      <c r="E1178" t="s">
        <v>541</v>
      </c>
      <c r="F1178" t="s">
        <v>3111</v>
      </c>
      <c r="G1178" t="s">
        <v>2037</v>
      </c>
      <c r="H1178" t="s">
        <v>2038</v>
      </c>
    </row>
    <row r="1179" spans="1:8" x14ac:dyDescent="0.25">
      <c r="A1179" t="s">
        <v>534</v>
      </c>
      <c r="B1179" t="s">
        <v>542</v>
      </c>
      <c r="C1179" t="s">
        <v>671</v>
      </c>
      <c r="D1179" t="s">
        <v>1881</v>
      </c>
      <c r="E1179" t="s">
        <v>542</v>
      </c>
      <c r="F1179" t="s">
        <v>3112</v>
      </c>
      <c r="G1179" t="s">
        <v>2037</v>
      </c>
      <c r="H1179" t="s">
        <v>2038</v>
      </c>
    </row>
    <row r="1180" spans="1:8" x14ac:dyDescent="0.25">
      <c r="A1180" t="s">
        <v>534</v>
      </c>
      <c r="B1180" t="s">
        <v>543</v>
      </c>
      <c r="C1180" t="s">
        <v>1133</v>
      </c>
      <c r="D1180" t="s">
        <v>1882</v>
      </c>
      <c r="E1180" t="s">
        <v>543</v>
      </c>
      <c r="F1180" t="s">
        <v>3113</v>
      </c>
      <c r="G1180" t="s">
        <v>2037</v>
      </c>
      <c r="H1180" t="s">
        <v>2038</v>
      </c>
    </row>
    <row r="1181" spans="1:8" x14ac:dyDescent="0.25">
      <c r="A1181" t="s">
        <v>534</v>
      </c>
      <c r="B1181" t="s">
        <v>544</v>
      </c>
      <c r="C1181" t="s">
        <v>1131</v>
      </c>
      <c r="D1181" t="s">
        <v>1883</v>
      </c>
      <c r="E1181" t="s">
        <v>544</v>
      </c>
      <c r="F1181" t="s">
        <v>3114</v>
      </c>
      <c r="G1181" t="s">
        <v>2037</v>
      </c>
      <c r="H1181" t="s">
        <v>2038</v>
      </c>
    </row>
    <row r="1182" spans="1:8" x14ac:dyDescent="0.25">
      <c r="A1182" t="s">
        <v>534</v>
      </c>
      <c r="B1182" t="s">
        <v>26</v>
      </c>
      <c r="C1182" t="s">
        <v>685</v>
      </c>
      <c r="D1182" t="s">
        <v>1884</v>
      </c>
      <c r="E1182" t="s">
        <v>687</v>
      </c>
      <c r="F1182" t="s">
        <v>3115</v>
      </c>
      <c r="G1182" t="s">
        <v>2037</v>
      </c>
      <c r="H1182" t="s">
        <v>2038</v>
      </c>
    </row>
    <row r="1183" spans="1:8" x14ac:dyDescent="0.25">
      <c r="A1183" t="s">
        <v>528</v>
      </c>
      <c r="B1183" t="s">
        <v>27</v>
      </c>
      <c r="C1183" t="s">
        <v>688</v>
      </c>
      <c r="D1183" t="s">
        <v>1885</v>
      </c>
      <c r="E1183" t="s">
        <v>1885</v>
      </c>
      <c r="F1183" t="s">
        <v>3116</v>
      </c>
      <c r="G1183" t="s">
        <v>2037</v>
      </c>
      <c r="H1183" t="s">
        <v>2038</v>
      </c>
    </row>
    <row r="1184" spans="1:8" x14ac:dyDescent="0.25">
      <c r="A1184" t="s">
        <v>529</v>
      </c>
      <c r="B1184" t="s">
        <v>28</v>
      </c>
      <c r="C1184" t="s">
        <v>690</v>
      </c>
      <c r="F1184" t="s">
        <v>3117</v>
      </c>
      <c r="G1184" t="s">
        <v>2037</v>
      </c>
      <c r="H1184" t="s">
        <v>2038</v>
      </c>
    </row>
    <row r="1185" spans="1:8" x14ac:dyDescent="0.25">
      <c r="A1185" t="s">
        <v>529</v>
      </c>
      <c r="B1185" t="s">
        <v>29</v>
      </c>
      <c r="C1185" t="s">
        <v>693</v>
      </c>
      <c r="F1185" t="s">
        <v>3118</v>
      </c>
      <c r="G1185" t="s">
        <v>2037</v>
      </c>
      <c r="H1185" t="s">
        <v>2038</v>
      </c>
    </row>
    <row r="1186" spans="1:8" x14ac:dyDescent="0.25">
      <c r="A1186" t="s">
        <v>545</v>
      </c>
      <c r="B1186" t="s">
        <v>3</v>
      </c>
      <c r="C1186" t="s">
        <v>633</v>
      </c>
      <c r="D1186" t="s">
        <v>1886</v>
      </c>
      <c r="E1186" t="s">
        <v>635</v>
      </c>
      <c r="F1186" t="s">
        <v>3119</v>
      </c>
      <c r="G1186" t="s">
        <v>2037</v>
      </c>
      <c r="H1186" t="s">
        <v>2038</v>
      </c>
    </row>
    <row r="1187" spans="1:8" x14ac:dyDescent="0.25">
      <c r="A1187" t="s">
        <v>546</v>
      </c>
      <c r="B1187" t="s">
        <v>5</v>
      </c>
      <c r="C1187" t="s">
        <v>636</v>
      </c>
      <c r="D1187" t="s">
        <v>1887</v>
      </c>
      <c r="E1187" t="s">
        <v>638</v>
      </c>
      <c r="F1187" t="s">
        <v>3120</v>
      </c>
      <c r="G1187" t="s">
        <v>2037</v>
      </c>
      <c r="H1187" t="s">
        <v>2038</v>
      </c>
    </row>
    <row r="1188" spans="1:8" x14ac:dyDescent="0.25">
      <c r="A1188" t="s">
        <v>546</v>
      </c>
      <c r="B1188" t="s">
        <v>547</v>
      </c>
      <c r="C1188" t="s">
        <v>1714</v>
      </c>
      <c r="D1188" t="s">
        <v>1888</v>
      </c>
      <c r="E1188" t="s">
        <v>547</v>
      </c>
      <c r="F1188" t="s">
        <v>3121</v>
      </c>
      <c r="G1188" t="s">
        <v>2037</v>
      </c>
      <c r="H1188" t="s">
        <v>2038</v>
      </c>
    </row>
    <row r="1189" spans="1:8" x14ac:dyDescent="0.25">
      <c r="A1189" t="s">
        <v>546</v>
      </c>
      <c r="B1189" t="s">
        <v>548</v>
      </c>
      <c r="C1189" t="s">
        <v>1716</v>
      </c>
      <c r="D1189" t="s">
        <v>1889</v>
      </c>
      <c r="E1189" t="s">
        <v>1103</v>
      </c>
      <c r="F1189" t="s">
        <v>3122</v>
      </c>
      <c r="G1189" t="s">
        <v>2037</v>
      </c>
      <c r="H1189" t="s">
        <v>2038</v>
      </c>
    </row>
    <row r="1190" spans="1:8" x14ac:dyDescent="0.25">
      <c r="A1190" t="s">
        <v>546</v>
      </c>
      <c r="B1190" t="s">
        <v>549</v>
      </c>
      <c r="C1190" t="s">
        <v>1718</v>
      </c>
      <c r="D1190" t="s">
        <v>1890</v>
      </c>
      <c r="E1190" t="s">
        <v>549</v>
      </c>
      <c r="F1190" t="s">
        <v>3123</v>
      </c>
      <c r="G1190" t="s">
        <v>2037</v>
      </c>
      <c r="H1190" t="s">
        <v>2038</v>
      </c>
    </row>
    <row r="1191" spans="1:8" x14ac:dyDescent="0.25">
      <c r="A1191" t="s">
        <v>546</v>
      </c>
      <c r="B1191" t="s">
        <v>550</v>
      </c>
      <c r="C1191" t="s">
        <v>1720</v>
      </c>
      <c r="D1191" t="s">
        <v>1891</v>
      </c>
      <c r="E1191" t="s">
        <v>550</v>
      </c>
      <c r="F1191" t="s">
        <v>3124</v>
      </c>
      <c r="G1191" t="s">
        <v>2037</v>
      </c>
      <c r="H1191" t="s">
        <v>2038</v>
      </c>
    </row>
    <row r="1192" spans="1:8" x14ac:dyDescent="0.25">
      <c r="A1192" t="s">
        <v>546</v>
      </c>
      <c r="B1192" t="s">
        <v>8</v>
      </c>
      <c r="C1192" t="s">
        <v>1110</v>
      </c>
      <c r="D1192" t="s">
        <v>1892</v>
      </c>
      <c r="E1192" t="s">
        <v>8</v>
      </c>
      <c r="F1192" t="s">
        <v>3125</v>
      </c>
      <c r="G1192" t="s">
        <v>2037</v>
      </c>
      <c r="H1192" t="s">
        <v>2038</v>
      </c>
    </row>
    <row r="1193" spans="1:8" x14ac:dyDescent="0.25">
      <c r="A1193" t="s">
        <v>546</v>
      </c>
      <c r="B1193" t="s">
        <v>14</v>
      </c>
      <c r="C1193" t="s">
        <v>661</v>
      </c>
      <c r="D1193" t="s">
        <v>1893</v>
      </c>
      <c r="E1193" t="s">
        <v>1724</v>
      </c>
      <c r="F1193" t="s">
        <v>3126</v>
      </c>
      <c r="G1193" t="s">
        <v>2037</v>
      </c>
      <c r="H1193" t="s">
        <v>2038</v>
      </c>
    </row>
    <row r="1194" spans="1:8" x14ac:dyDescent="0.25">
      <c r="D1194" t="s">
        <v>1894</v>
      </c>
      <c r="E1194" t="s">
        <v>1895</v>
      </c>
      <c r="F1194" t="s">
        <v>2079</v>
      </c>
    </row>
    <row r="1195" spans="1:8" x14ac:dyDescent="0.25">
      <c r="A1195" t="s">
        <v>551</v>
      </c>
      <c r="B1195" t="s">
        <v>16</v>
      </c>
      <c r="C1195" t="s">
        <v>1116</v>
      </c>
      <c r="D1195" t="s">
        <v>1896</v>
      </c>
      <c r="E1195" t="s">
        <v>16</v>
      </c>
      <c r="F1195" t="s">
        <v>3127</v>
      </c>
      <c r="G1195" t="s">
        <v>2037</v>
      </c>
      <c r="H1195" t="s">
        <v>2038</v>
      </c>
    </row>
    <row r="1196" spans="1:8" x14ac:dyDescent="0.25">
      <c r="A1196" t="s">
        <v>551</v>
      </c>
      <c r="B1196" t="s">
        <v>17</v>
      </c>
      <c r="C1196" t="s">
        <v>1728</v>
      </c>
      <c r="D1196" t="s">
        <v>1897</v>
      </c>
      <c r="E1196" t="s">
        <v>17</v>
      </c>
      <c r="F1196" t="s">
        <v>3128</v>
      </c>
      <c r="G1196" t="s">
        <v>2037</v>
      </c>
      <c r="H1196" t="s">
        <v>2038</v>
      </c>
    </row>
    <row r="1197" spans="1:8" x14ac:dyDescent="0.25">
      <c r="A1197" t="s">
        <v>551</v>
      </c>
      <c r="B1197" t="s">
        <v>552</v>
      </c>
      <c r="C1197" t="s">
        <v>673</v>
      </c>
      <c r="D1197" t="s">
        <v>1898</v>
      </c>
      <c r="E1197" t="s">
        <v>552</v>
      </c>
      <c r="F1197" t="s">
        <v>3129</v>
      </c>
      <c r="G1197" t="s">
        <v>2037</v>
      </c>
      <c r="H1197" t="s">
        <v>2038</v>
      </c>
    </row>
    <row r="1198" spans="1:8" x14ac:dyDescent="0.25">
      <c r="A1198" t="s">
        <v>551</v>
      </c>
      <c r="B1198" t="s">
        <v>553</v>
      </c>
      <c r="C1198" t="s">
        <v>675</v>
      </c>
      <c r="D1198" t="s">
        <v>1899</v>
      </c>
      <c r="E1198" t="s">
        <v>553</v>
      </c>
      <c r="F1198" t="s">
        <v>3130</v>
      </c>
      <c r="G1198" t="s">
        <v>2037</v>
      </c>
      <c r="H1198" t="s">
        <v>2038</v>
      </c>
    </row>
    <row r="1199" spans="1:8" x14ac:dyDescent="0.25">
      <c r="A1199" t="s">
        <v>551</v>
      </c>
      <c r="B1199" t="s">
        <v>554</v>
      </c>
      <c r="C1199" t="s">
        <v>677</v>
      </c>
      <c r="D1199" t="s">
        <v>1900</v>
      </c>
      <c r="E1199" t="s">
        <v>554</v>
      </c>
      <c r="F1199" t="s">
        <v>3131</v>
      </c>
      <c r="G1199" t="s">
        <v>2037</v>
      </c>
      <c r="H1199" t="s">
        <v>2038</v>
      </c>
    </row>
    <row r="1200" spans="1:8" x14ac:dyDescent="0.25">
      <c r="A1200" t="s">
        <v>551</v>
      </c>
      <c r="B1200" t="s">
        <v>555</v>
      </c>
      <c r="C1200" t="s">
        <v>679</v>
      </c>
      <c r="D1200" t="s">
        <v>1901</v>
      </c>
      <c r="E1200" t="s">
        <v>555</v>
      </c>
      <c r="F1200" t="s">
        <v>3132</v>
      </c>
      <c r="G1200" t="s">
        <v>2037</v>
      </c>
      <c r="H1200" t="s">
        <v>2038</v>
      </c>
    </row>
    <row r="1201" spans="1:8" x14ac:dyDescent="0.25">
      <c r="A1201" t="s">
        <v>551</v>
      </c>
      <c r="B1201" t="s">
        <v>556</v>
      </c>
      <c r="C1201" t="s">
        <v>1124</v>
      </c>
      <c r="D1201" t="s">
        <v>1902</v>
      </c>
      <c r="E1201" t="s">
        <v>556</v>
      </c>
      <c r="F1201" t="s">
        <v>3133</v>
      </c>
      <c r="G1201" t="s">
        <v>2037</v>
      </c>
      <c r="H1201" t="s">
        <v>2038</v>
      </c>
    </row>
    <row r="1202" spans="1:8" x14ac:dyDescent="0.25">
      <c r="A1202" t="s">
        <v>551</v>
      </c>
      <c r="B1202" t="s">
        <v>557</v>
      </c>
      <c r="C1202" t="s">
        <v>1126</v>
      </c>
      <c r="D1202" t="s">
        <v>1903</v>
      </c>
      <c r="E1202" t="s">
        <v>557</v>
      </c>
      <c r="F1202" t="s">
        <v>3134</v>
      </c>
      <c r="G1202" t="s">
        <v>2037</v>
      </c>
      <c r="H1202" t="s">
        <v>2038</v>
      </c>
    </row>
    <row r="1203" spans="1:8" x14ac:dyDescent="0.25">
      <c r="A1203" t="s">
        <v>551</v>
      </c>
      <c r="B1203" t="s">
        <v>558</v>
      </c>
      <c r="C1203" t="s">
        <v>671</v>
      </c>
      <c r="D1203" t="s">
        <v>1904</v>
      </c>
      <c r="E1203" t="s">
        <v>558</v>
      </c>
      <c r="F1203" t="s">
        <v>3135</v>
      </c>
      <c r="G1203" t="s">
        <v>2037</v>
      </c>
      <c r="H1203" t="s">
        <v>2038</v>
      </c>
    </row>
    <row r="1204" spans="1:8" x14ac:dyDescent="0.25">
      <c r="A1204" t="s">
        <v>551</v>
      </c>
      <c r="B1204" t="s">
        <v>559</v>
      </c>
      <c r="C1204" t="s">
        <v>671</v>
      </c>
      <c r="D1204" t="s">
        <v>1905</v>
      </c>
      <c r="E1204" t="s">
        <v>559</v>
      </c>
      <c r="F1204" t="s">
        <v>3136</v>
      </c>
      <c r="G1204" t="s">
        <v>2037</v>
      </c>
      <c r="H1204" t="s">
        <v>2038</v>
      </c>
    </row>
    <row r="1205" spans="1:8" x14ac:dyDescent="0.25">
      <c r="A1205" t="s">
        <v>551</v>
      </c>
      <c r="B1205" t="s">
        <v>560</v>
      </c>
      <c r="C1205" t="s">
        <v>1133</v>
      </c>
      <c r="D1205" t="s">
        <v>1906</v>
      </c>
      <c r="E1205" t="s">
        <v>560</v>
      </c>
      <c r="F1205" t="s">
        <v>3137</v>
      </c>
      <c r="G1205" t="s">
        <v>2037</v>
      </c>
      <c r="H1205" t="s">
        <v>2038</v>
      </c>
    </row>
    <row r="1206" spans="1:8" x14ac:dyDescent="0.25">
      <c r="A1206" t="s">
        <v>551</v>
      </c>
      <c r="B1206" t="s">
        <v>561</v>
      </c>
      <c r="C1206" t="s">
        <v>1131</v>
      </c>
      <c r="D1206" t="s">
        <v>1907</v>
      </c>
      <c r="E1206" t="s">
        <v>561</v>
      </c>
      <c r="F1206" t="s">
        <v>3138</v>
      </c>
      <c r="G1206" t="s">
        <v>2037</v>
      </c>
      <c r="H1206" t="s">
        <v>2038</v>
      </c>
    </row>
    <row r="1207" spans="1:8" x14ac:dyDescent="0.25">
      <c r="A1207" t="s">
        <v>551</v>
      </c>
      <c r="B1207" t="s">
        <v>26</v>
      </c>
      <c r="C1207" t="s">
        <v>685</v>
      </c>
      <c r="D1207" t="s">
        <v>1908</v>
      </c>
      <c r="E1207" t="s">
        <v>687</v>
      </c>
      <c r="F1207" t="s">
        <v>3139</v>
      </c>
      <c r="G1207" t="s">
        <v>2037</v>
      </c>
      <c r="H1207" t="s">
        <v>2038</v>
      </c>
    </row>
    <row r="1208" spans="1:8" x14ac:dyDescent="0.25">
      <c r="A1208" t="s">
        <v>545</v>
      </c>
      <c r="B1208" t="s">
        <v>27</v>
      </c>
      <c r="C1208" t="s">
        <v>688</v>
      </c>
      <c r="D1208" t="s">
        <v>1909</v>
      </c>
      <c r="E1208" t="s">
        <v>1909</v>
      </c>
      <c r="F1208" t="s">
        <v>3140</v>
      </c>
      <c r="G1208" t="s">
        <v>2037</v>
      </c>
      <c r="H1208" t="s">
        <v>2038</v>
      </c>
    </row>
    <row r="1209" spans="1:8" x14ac:dyDescent="0.25">
      <c r="A1209" t="s">
        <v>546</v>
      </c>
      <c r="B1209" t="s">
        <v>28</v>
      </c>
      <c r="C1209" t="s">
        <v>690</v>
      </c>
      <c r="F1209" t="s">
        <v>3141</v>
      </c>
      <c r="G1209" t="s">
        <v>2037</v>
      </c>
      <c r="H1209" t="s">
        <v>2038</v>
      </c>
    </row>
    <row r="1210" spans="1:8" x14ac:dyDescent="0.25">
      <c r="A1210" t="s">
        <v>546</v>
      </c>
      <c r="B1210" t="s">
        <v>29</v>
      </c>
      <c r="C1210" t="s">
        <v>693</v>
      </c>
      <c r="F1210" t="s">
        <v>3142</v>
      </c>
      <c r="G1210" t="s">
        <v>2037</v>
      </c>
      <c r="H1210" t="s">
        <v>2038</v>
      </c>
    </row>
    <row r="1211" spans="1:8" x14ac:dyDescent="0.25">
      <c r="A1211" t="s">
        <v>562</v>
      </c>
      <c r="B1211" t="s">
        <v>3</v>
      </c>
      <c r="C1211" t="s">
        <v>633</v>
      </c>
      <c r="D1211" t="s">
        <v>1910</v>
      </c>
      <c r="E1211" t="s">
        <v>635</v>
      </c>
      <c r="F1211" t="s">
        <v>3143</v>
      </c>
      <c r="G1211" t="s">
        <v>2037</v>
      </c>
      <c r="H1211" t="s">
        <v>2038</v>
      </c>
    </row>
    <row r="1212" spans="1:8" x14ac:dyDescent="0.25">
      <c r="A1212" t="s">
        <v>563</v>
      </c>
      <c r="B1212" t="s">
        <v>5</v>
      </c>
      <c r="C1212" t="s">
        <v>636</v>
      </c>
      <c r="D1212" t="s">
        <v>1911</v>
      </c>
      <c r="E1212" t="s">
        <v>638</v>
      </c>
      <c r="F1212" t="s">
        <v>3144</v>
      </c>
      <c r="G1212" t="s">
        <v>2037</v>
      </c>
      <c r="H1212" t="s">
        <v>2038</v>
      </c>
    </row>
    <row r="1213" spans="1:8" x14ac:dyDescent="0.25">
      <c r="A1213" t="s">
        <v>563</v>
      </c>
      <c r="B1213" t="s">
        <v>564</v>
      </c>
      <c r="C1213" t="s">
        <v>1714</v>
      </c>
      <c r="D1213" t="s">
        <v>1912</v>
      </c>
      <c r="E1213" t="s">
        <v>564</v>
      </c>
      <c r="F1213" t="s">
        <v>3145</v>
      </c>
      <c r="G1213" t="s">
        <v>2037</v>
      </c>
      <c r="H1213" t="s">
        <v>2038</v>
      </c>
    </row>
    <row r="1214" spans="1:8" x14ac:dyDescent="0.25">
      <c r="A1214" t="s">
        <v>563</v>
      </c>
      <c r="B1214" t="s">
        <v>565</v>
      </c>
      <c r="C1214" t="s">
        <v>1716</v>
      </c>
      <c r="D1214" t="s">
        <v>1913</v>
      </c>
      <c r="E1214" t="s">
        <v>1103</v>
      </c>
      <c r="F1214" t="s">
        <v>3146</v>
      </c>
      <c r="G1214" t="s">
        <v>2037</v>
      </c>
      <c r="H1214" t="s">
        <v>2038</v>
      </c>
    </row>
    <row r="1215" spans="1:8" x14ac:dyDescent="0.25">
      <c r="A1215" t="s">
        <v>563</v>
      </c>
      <c r="B1215" t="s">
        <v>566</v>
      </c>
      <c r="C1215" t="s">
        <v>1718</v>
      </c>
      <c r="D1215" t="s">
        <v>1914</v>
      </c>
      <c r="E1215" t="s">
        <v>566</v>
      </c>
      <c r="F1215" t="s">
        <v>3147</v>
      </c>
      <c r="G1215" t="s">
        <v>2037</v>
      </c>
      <c r="H1215" t="s">
        <v>2038</v>
      </c>
    </row>
    <row r="1216" spans="1:8" x14ac:dyDescent="0.25">
      <c r="A1216" t="s">
        <v>563</v>
      </c>
      <c r="B1216" t="s">
        <v>567</v>
      </c>
      <c r="C1216" t="s">
        <v>1720</v>
      </c>
      <c r="D1216" t="s">
        <v>1915</v>
      </c>
      <c r="E1216" t="s">
        <v>567</v>
      </c>
      <c r="F1216" t="s">
        <v>3148</v>
      </c>
      <c r="G1216" t="s">
        <v>2037</v>
      </c>
      <c r="H1216" t="s">
        <v>2038</v>
      </c>
    </row>
    <row r="1217" spans="1:8" x14ac:dyDescent="0.25">
      <c r="A1217" t="s">
        <v>563</v>
      </c>
      <c r="B1217" t="s">
        <v>8</v>
      </c>
      <c r="C1217" t="s">
        <v>1110</v>
      </c>
      <c r="D1217" t="s">
        <v>1916</v>
      </c>
      <c r="E1217" t="s">
        <v>8</v>
      </c>
      <c r="F1217" t="s">
        <v>3149</v>
      </c>
      <c r="G1217" t="s">
        <v>2037</v>
      </c>
      <c r="H1217" t="s">
        <v>2038</v>
      </c>
    </row>
    <row r="1218" spans="1:8" x14ac:dyDescent="0.25">
      <c r="A1218" t="s">
        <v>563</v>
      </c>
      <c r="B1218" t="s">
        <v>14</v>
      </c>
      <c r="C1218" t="s">
        <v>661</v>
      </c>
      <c r="D1218" t="s">
        <v>1917</v>
      </c>
      <c r="E1218" t="s">
        <v>1724</v>
      </c>
      <c r="F1218" t="s">
        <v>3150</v>
      </c>
      <c r="G1218" t="s">
        <v>2037</v>
      </c>
      <c r="H1218" t="s">
        <v>2038</v>
      </c>
    </row>
    <row r="1219" spans="1:8" x14ac:dyDescent="0.25">
      <c r="D1219" t="s">
        <v>1918</v>
      </c>
      <c r="E1219" t="s">
        <v>1919</v>
      </c>
      <c r="F1219" t="s">
        <v>2079</v>
      </c>
    </row>
    <row r="1220" spans="1:8" x14ac:dyDescent="0.25">
      <c r="A1220" t="s">
        <v>568</v>
      </c>
      <c r="B1220" t="s">
        <v>16</v>
      </c>
      <c r="C1220" t="s">
        <v>1116</v>
      </c>
      <c r="D1220" t="s">
        <v>1920</v>
      </c>
      <c r="E1220" t="s">
        <v>16</v>
      </c>
      <c r="F1220" t="s">
        <v>3151</v>
      </c>
      <c r="G1220" t="s">
        <v>2037</v>
      </c>
      <c r="H1220" t="s">
        <v>2038</v>
      </c>
    </row>
    <row r="1221" spans="1:8" x14ac:dyDescent="0.25">
      <c r="A1221" t="s">
        <v>568</v>
      </c>
      <c r="B1221" t="s">
        <v>17</v>
      </c>
      <c r="C1221" t="s">
        <v>1728</v>
      </c>
      <c r="D1221" t="s">
        <v>1921</v>
      </c>
      <c r="E1221" t="s">
        <v>17</v>
      </c>
      <c r="F1221" t="s">
        <v>3152</v>
      </c>
      <c r="G1221" t="s">
        <v>2037</v>
      </c>
      <c r="H1221" t="s">
        <v>2038</v>
      </c>
    </row>
    <row r="1222" spans="1:8" x14ac:dyDescent="0.25">
      <c r="A1222" t="s">
        <v>568</v>
      </c>
      <c r="B1222" t="s">
        <v>569</v>
      </c>
      <c r="C1222" t="s">
        <v>673</v>
      </c>
      <c r="D1222" t="s">
        <v>1922</v>
      </c>
      <c r="E1222" t="s">
        <v>569</v>
      </c>
      <c r="F1222" t="s">
        <v>3153</v>
      </c>
      <c r="G1222" t="s">
        <v>2037</v>
      </c>
      <c r="H1222" t="s">
        <v>2038</v>
      </c>
    </row>
    <row r="1223" spans="1:8" x14ac:dyDescent="0.25">
      <c r="A1223" t="s">
        <v>568</v>
      </c>
      <c r="B1223" t="s">
        <v>570</v>
      </c>
      <c r="C1223" t="s">
        <v>675</v>
      </c>
      <c r="D1223" t="s">
        <v>1923</v>
      </c>
      <c r="E1223" t="s">
        <v>570</v>
      </c>
      <c r="F1223" t="s">
        <v>3154</v>
      </c>
      <c r="G1223" t="s">
        <v>2037</v>
      </c>
      <c r="H1223" t="s">
        <v>2038</v>
      </c>
    </row>
    <row r="1224" spans="1:8" x14ac:dyDescent="0.25">
      <c r="A1224" t="s">
        <v>568</v>
      </c>
      <c r="B1224" t="s">
        <v>571</v>
      </c>
      <c r="C1224" t="s">
        <v>677</v>
      </c>
      <c r="D1224" t="s">
        <v>1924</v>
      </c>
      <c r="E1224" t="s">
        <v>571</v>
      </c>
      <c r="F1224" t="s">
        <v>3155</v>
      </c>
      <c r="G1224" t="s">
        <v>2037</v>
      </c>
      <c r="H1224" t="s">
        <v>2038</v>
      </c>
    </row>
    <row r="1225" spans="1:8" x14ac:dyDescent="0.25">
      <c r="A1225" t="s">
        <v>568</v>
      </c>
      <c r="B1225" t="s">
        <v>572</v>
      </c>
      <c r="C1225" t="s">
        <v>679</v>
      </c>
      <c r="D1225" t="s">
        <v>1925</v>
      </c>
      <c r="E1225" t="s">
        <v>572</v>
      </c>
      <c r="F1225" t="s">
        <v>3156</v>
      </c>
      <c r="G1225" t="s">
        <v>2037</v>
      </c>
      <c r="H1225" t="s">
        <v>2038</v>
      </c>
    </row>
    <row r="1226" spans="1:8" x14ac:dyDescent="0.25">
      <c r="A1226" t="s">
        <v>568</v>
      </c>
      <c r="B1226" t="s">
        <v>573</v>
      </c>
      <c r="C1226" t="s">
        <v>1124</v>
      </c>
      <c r="D1226" t="s">
        <v>1926</v>
      </c>
      <c r="E1226" t="s">
        <v>573</v>
      </c>
      <c r="F1226" t="s">
        <v>3157</v>
      </c>
      <c r="G1226" t="s">
        <v>2037</v>
      </c>
      <c r="H1226" t="s">
        <v>2038</v>
      </c>
    </row>
    <row r="1227" spans="1:8" x14ac:dyDescent="0.25">
      <c r="A1227" t="s">
        <v>568</v>
      </c>
      <c r="B1227" t="s">
        <v>574</v>
      </c>
      <c r="C1227" t="s">
        <v>1126</v>
      </c>
      <c r="D1227" t="s">
        <v>1927</v>
      </c>
      <c r="E1227" t="s">
        <v>574</v>
      </c>
      <c r="F1227" t="s">
        <v>3158</v>
      </c>
      <c r="G1227" t="s">
        <v>2037</v>
      </c>
      <c r="H1227" t="s">
        <v>2038</v>
      </c>
    </row>
    <row r="1228" spans="1:8" x14ac:dyDescent="0.25">
      <c r="A1228" t="s">
        <v>568</v>
      </c>
      <c r="B1228" t="s">
        <v>575</v>
      </c>
      <c r="C1228" t="s">
        <v>671</v>
      </c>
      <c r="D1228" t="s">
        <v>1928</v>
      </c>
      <c r="E1228" t="s">
        <v>575</v>
      </c>
      <c r="F1228" t="s">
        <v>3159</v>
      </c>
      <c r="G1228" t="s">
        <v>2037</v>
      </c>
      <c r="H1228" t="s">
        <v>2038</v>
      </c>
    </row>
    <row r="1229" spans="1:8" x14ac:dyDescent="0.25">
      <c r="A1229" t="s">
        <v>568</v>
      </c>
      <c r="B1229" t="s">
        <v>576</v>
      </c>
      <c r="C1229" t="s">
        <v>671</v>
      </c>
      <c r="D1229" t="s">
        <v>1929</v>
      </c>
      <c r="E1229" t="s">
        <v>576</v>
      </c>
      <c r="F1229" t="s">
        <v>3160</v>
      </c>
      <c r="G1229" t="s">
        <v>2037</v>
      </c>
      <c r="H1229" t="s">
        <v>2038</v>
      </c>
    </row>
    <row r="1230" spans="1:8" x14ac:dyDescent="0.25">
      <c r="A1230" t="s">
        <v>568</v>
      </c>
      <c r="B1230" t="s">
        <v>577</v>
      </c>
      <c r="C1230" t="s">
        <v>1133</v>
      </c>
      <c r="D1230" t="s">
        <v>1930</v>
      </c>
      <c r="E1230" t="s">
        <v>577</v>
      </c>
      <c r="F1230" t="s">
        <v>3161</v>
      </c>
      <c r="G1230" t="s">
        <v>2037</v>
      </c>
      <c r="H1230" t="s">
        <v>2038</v>
      </c>
    </row>
    <row r="1231" spans="1:8" x14ac:dyDescent="0.25">
      <c r="A1231" t="s">
        <v>568</v>
      </c>
      <c r="B1231" t="s">
        <v>578</v>
      </c>
      <c r="C1231" t="s">
        <v>1131</v>
      </c>
      <c r="D1231" t="s">
        <v>1931</v>
      </c>
      <c r="E1231" t="s">
        <v>578</v>
      </c>
      <c r="F1231" t="s">
        <v>3162</v>
      </c>
      <c r="G1231" t="s">
        <v>2037</v>
      </c>
      <c r="H1231" t="s">
        <v>2038</v>
      </c>
    </row>
    <row r="1232" spans="1:8" x14ac:dyDescent="0.25">
      <c r="A1232" t="s">
        <v>568</v>
      </c>
      <c r="B1232" t="s">
        <v>26</v>
      </c>
      <c r="C1232" t="s">
        <v>685</v>
      </c>
      <c r="D1232" t="s">
        <v>1932</v>
      </c>
      <c r="E1232" t="s">
        <v>687</v>
      </c>
      <c r="F1232" t="s">
        <v>3163</v>
      </c>
      <c r="G1232" t="s">
        <v>2037</v>
      </c>
      <c r="H1232" t="s">
        <v>2038</v>
      </c>
    </row>
    <row r="1233" spans="1:8" x14ac:dyDescent="0.25">
      <c r="A1233" t="s">
        <v>562</v>
      </c>
      <c r="B1233" t="s">
        <v>27</v>
      </c>
      <c r="C1233" t="s">
        <v>688</v>
      </c>
      <c r="D1233" t="s">
        <v>1933</v>
      </c>
      <c r="E1233" t="s">
        <v>1933</v>
      </c>
      <c r="F1233" t="s">
        <v>3164</v>
      </c>
      <c r="G1233" t="s">
        <v>2037</v>
      </c>
      <c r="H1233" t="s">
        <v>2038</v>
      </c>
    </row>
    <row r="1234" spans="1:8" x14ac:dyDescent="0.25">
      <c r="A1234" t="s">
        <v>563</v>
      </c>
      <c r="B1234" t="s">
        <v>28</v>
      </c>
      <c r="C1234" t="s">
        <v>690</v>
      </c>
      <c r="F1234" t="s">
        <v>3165</v>
      </c>
      <c r="G1234" t="s">
        <v>2037</v>
      </c>
      <c r="H1234" t="s">
        <v>2038</v>
      </c>
    </row>
    <row r="1235" spans="1:8" x14ac:dyDescent="0.25">
      <c r="A1235" t="s">
        <v>563</v>
      </c>
      <c r="B1235" t="s">
        <v>29</v>
      </c>
      <c r="C1235" t="s">
        <v>693</v>
      </c>
      <c r="F1235" t="s">
        <v>3166</v>
      </c>
      <c r="G1235" t="s">
        <v>2037</v>
      </c>
      <c r="H1235" t="s">
        <v>2038</v>
      </c>
    </row>
    <row r="1236" spans="1:8" x14ac:dyDescent="0.25">
      <c r="A1236" t="s">
        <v>579</v>
      </c>
      <c r="B1236" t="s">
        <v>3</v>
      </c>
      <c r="C1236" t="s">
        <v>633</v>
      </c>
      <c r="D1236" t="s">
        <v>1934</v>
      </c>
      <c r="E1236" t="s">
        <v>635</v>
      </c>
      <c r="F1236" t="s">
        <v>3167</v>
      </c>
      <c r="G1236" t="s">
        <v>2037</v>
      </c>
      <c r="H1236" t="s">
        <v>2038</v>
      </c>
    </row>
    <row r="1237" spans="1:8" x14ac:dyDescent="0.25">
      <c r="A1237" t="s">
        <v>580</v>
      </c>
      <c r="B1237" t="s">
        <v>5</v>
      </c>
      <c r="C1237" t="s">
        <v>636</v>
      </c>
      <c r="D1237" t="s">
        <v>1935</v>
      </c>
      <c r="E1237" t="s">
        <v>638</v>
      </c>
      <c r="F1237" t="s">
        <v>3168</v>
      </c>
      <c r="G1237" t="s">
        <v>2037</v>
      </c>
      <c r="H1237" t="s">
        <v>2038</v>
      </c>
    </row>
    <row r="1238" spans="1:8" x14ac:dyDescent="0.25">
      <c r="A1238" t="s">
        <v>580</v>
      </c>
      <c r="B1238" t="s">
        <v>581</v>
      </c>
      <c r="C1238" t="s">
        <v>1714</v>
      </c>
      <c r="D1238" t="s">
        <v>1936</v>
      </c>
      <c r="E1238" t="s">
        <v>581</v>
      </c>
      <c r="F1238" t="s">
        <v>3169</v>
      </c>
      <c r="G1238" t="s">
        <v>2037</v>
      </c>
      <c r="H1238" t="s">
        <v>2038</v>
      </c>
    </row>
    <row r="1239" spans="1:8" x14ac:dyDescent="0.25">
      <c r="A1239" t="s">
        <v>580</v>
      </c>
      <c r="B1239" t="s">
        <v>582</v>
      </c>
      <c r="C1239" t="s">
        <v>1716</v>
      </c>
      <c r="D1239" t="s">
        <v>1937</v>
      </c>
      <c r="E1239" t="s">
        <v>1103</v>
      </c>
      <c r="F1239" t="s">
        <v>3170</v>
      </c>
      <c r="G1239" t="s">
        <v>2037</v>
      </c>
      <c r="H1239" t="s">
        <v>2038</v>
      </c>
    </row>
    <row r="1240" spans="1:8" x14ac:dyDescent="0.25">
      <c r="A1240" t="s">
        <v>580</v>
      </c>
      <c r="B1240" t="s">
        <v>583</v>
      </c>
      <c r="C1240" t="s">
        <v>1718</v>
      </c>
      <c r="D1240" t="s">
        <v>1938</v>
      </c>
      <c r="E1240" t="s">
        <v>583</v>
      </c>
      <c r="F1240" t="s">
        <v>3171</v>
      </c>
      <c r="G1240" t="s">
        <v>2037</v>
      </c>
      <c r="H1240" t="s">
        <v>2038</v>
      </c>
    </row>
    <row r="1241" spans="1:8" x14ac:dyDescent="0.25">
      <c r="A1241" t="s">
        <v>580</v>
      </c>
      <c r="B1241" t="s">
        <v>584</v>
      </c>
      <c r="C1241" t="s">
        <v>1720</v>
      </c>
      <c r="D1241" t="s">
        <v>1939</v>
      </c>
      <c r="E1241" t="s">
        <v>584</v>
      </c>
      <c r="F1241" t="s">
        <v>3172</v>
      </c>
      <c r="G1241" t="s">
        <v>2037</v>
      </c>
      <c r="H1241" t="s">
        <v>2038</v>
      </c>
    </row>
    <row r="1242" spans="1:8" x14ac:dyDescent="0.25">
      <c r="A1242" t="s">
        <v>580</v>
      </c>
      <c r="B1242" t="s">
        <v>8</v>
      </c>
      <c r="C1242" t="s">
        <v>1110</v>
      </c>
      <c r="D1242" t="s">
        <v>1940</v>
      </c>
      <c r="E1242" t="s">
        <v>8</v>
      </c>
      <c r="F1242" t="s">
        <v>3173</v>
      </c>
      <c r="G1242" t="s">
        <v>2037</v>
      </c>
      <c r="H1242" t="s">
        <v>2038</v>
      </c>
    </row>
    <row r="1243" spans="1:8" x14ac:dyDescent="0.25">
      <c r="A1243" t="s">
        <v>580</v>
      </c>
      <c r="B1243" t="s">
        <v>14</v>
      </c>
      <c r="C1243" t="s">
        <v>661</v>
      </c>
      <c r="D1243" t="s">
        <v>1941</v>
      </c>
      <c r="E1243" t="s">
        <v>1724</v>
      </c>
      <c r="F1243" t="s">
        <v>3174</v>
      </c>
      <c r="G1243" t="s">
        <v>2037</v>
      </c>
      <c r="H1243" t="s">
        <v>2038</v>
      </c>
    </row>
    <row r="1244" spans="1:8" x14ac:dyDescent="0.25">
      <c r="D1244" t="s">
        <v>1942</v>
      </c>
      <c r="E1244" t="s">
        <v>1943</v>
      </c>
      <c r="F1244" t="s">
        <v>2079</v>
      </c>
    </row>
    <row r="1245" spans="1:8" x14ac:dyDescent="0.25">
      <c r="A1245" t="s">
        <v>585</v>
      </c>
      <c r="B1245" t="s">
        <v>16</v>
      </c>
      <c r="C1245" t="s">
        <v>1116</v>
      </c>
      <c r="D1245" t="s">
        <v>1944</v>
      </c>
      <c r="E1245" t="s">
        <v>16</v>
      </c>
      <c r="F1245" t="s">
        <v>3175</v>
      </c>
      <c r="G1245" t="s">
        <v>2037</v>
      </c>
      <c r="H1245" t="s">
        <v>2038</v>
      </c>
    </row>
    <row r="1246" spans="1:8" x14ac:dyDescent="0.25">
      <c r="A1246" t="s">
        <v>585</v>
      </c>
      <c r="B1246" t="s">
        <v>17</v>
      </c>
      <c r="C1246" t="s">
        <v>1728</v>
      </c>
      <c r="D1246" t="s">
        <v>1945</v>
      </c>
      <c r="E1246" t="s">
        <v>17</v>
      </c>
      <c r="F1246" t="s">
        <v>3176</v>
      </c>
      <c r="G1246" t="s">
        <v>2037</v>
      </c>
      <c r="H1246" t="s">
        <v>2038</v>
      </c>
    </row>
    <row r="1247" spans="1:8" x14ac:dyDescent="0.25">
      <c r="A1247" t="s">
        <v>585</v>
      </c>
      <c r="B1247" t="s">
        <v>586</v>
      </c>
      <c r="C1247" t="s">
        <v>673</v>
      </c>
      <c r="D1247" t="s">
        <v>1946</v>
      </c>
      <c r="E1247" t="s">
        <v>586</v>
      </c>
      <c r="F1247" t="s">
        <v>3177</v>
      </c>
      <c r="G1247" t="s">
        <v>2037</v>
      </c>
      <c r="H1247" t="s">
        <v>2038</v>
      </c>
    </row>
    <row r="1248" spans="1:8" x14ac:dyDescent="0.25">
      <c r="A1248" t="s">
        <v>585</v>
      </c>
      <c r="B1248" t="s">
        <v>587</v>
      </c>
      <c r="C1248" t="s">
        <v>675</v>
      </c>
      <c r="D1248" t="s">
        <v>1947</v>
      </c>
      <c r="E1248" t="s">
        <v>587</v>
      </c>
      <c r="F1248" t="s">
        <v>3178</v>
      </c>
      <c r="G1248" t="s">
        <v>2037</v>
      </c>
      <c r="H1248" t="s">
        <v>2038</v>
      </c>
    </row>
    <row r="1249" spans="1:8" x14ac:dyDescent="0.25">
      <c r="A1249" t="s">
        <v>585</v>
      </c>
      <c r="B1249" t="s">
        <v>588</v>
      </c>
      <c r="C1249" t="s">
        <v>677</v>
      </c>
      <c r="D1249" t="s">
        <v>1948</v>
      </c>
      <c r="E1249" t="s">
        <v>588</v>
      </c>
      <c r="F1249" t="s">
        <v>3179</v>
      </c>
      <c r="G1249" t="s">
        <v>2037</v>
      </c>
      <c r="H1249" t="s">
        <v>2038</v>
      </c>
    </row>
    <row r="1250" spans="1:8" x14ac:dyDescent="0.25">
      <c r="A1250" t="s">
        <v>585</v>
      </c>
      <c r="B1250" t="s">
        <v>589</v>
      </c>
      <c r="C1250" t="s">
        <v>679</v>
      </c>
      <c r="D1250" t="s">
        <v>1949</v>
      </c>
      <c r="E1250" t="s">
        <v>589</v>
      </c>
      <c r="F1250" t="s">
        <v>3180</v>
      </c>
      <c r="G1250" t="s">
        <v>2037</v>
      </c>
      <c r="H1250" t="s">
        <v>2038</v>
      </c>
    </row>
    <row r="1251" spans="1:8" x14ac:dyDescent="0.25">
      <c r="A1251" t="s">
        <v>585</v>
      </c>
      <c r="B1251" t="s">
        <v>590</v>
      </c>
      <c r="C1251" t="s">
        <v>1124</v>
      </c>
      <c r="D1251" t="s">
        <v>1950</v>
      </c>
      <c r="E1251" t="s">
        <v>590</v>
      </c>
      <c r="F1251" t="s">
        <v>3181</v>
      </c>
      <c r="G1251" t="s">
        <v>2037</v>
      </c>
      <c r="H1251" t="s">
        <v>2038</v>
      </c>
    </row>
    <row r="1252" spans="1:8" x14ac:dyDescent="0.25">
      <c r="A1252" t="s">
        <v>585</v>
      </c>
      <c r="B1252" t="s">
        <v>591</v>
      </c>
      <c r="C1252" t="s">
        <v>1126</v>
      </c>
      <c r="D1252" t="s">
        <v>1951</v>
      </c>
      <c r="E1252" t="s">
        <v>591</v>
      </c>
      <c r="F1252" t="s">
        <v>3182</v>
      </c>
      <c r="G1252" t="s">
        <v>2037</v>
      </c>
      <c r="H1252" t="s">
        <v>2038</v>
      </c>
    </row>
    <row r="1253" spans="1:8" x14ac:dyDescent="0.25">
      <c r="A1253" t="s">
        <v>585</v>
      </c>
      <c r="B1253" t="s">
        <v>592</v>
      </c>
      <c r="C1253" t="s">
        <v>671</v>
      </c>
      <c r="D1253" t="s">
        <v>1952</v>
      </c>
      <c r="E1253" t="s">
        <v>592</v>
      </c>
      <c r="F1253" t="s">
        <v>3183</v>
      </c>
      <c r="G1253" t="s">
        <v>2037</v>
      </c>
      <c r="H1253" t="s">
        <v>2038</v>
      </c>
    </row>
    <row r="1254" spans="1:8" x14ac:dyDescent="0.25">
      <c r="A1254" t="s">
        <v>585</v>
      </c>
      <c r="B1254" t="s">
        <v>593</v>
      </c>
      <c r="C1254" t="s">
        <v>671</v>
      </c>
      <c r="D1254" t="s">
        <v>1953</v>
      </c>
      <c r="E1254" t="s">
        <v>593</v>
      </c>
      <c r="F1254" t="s">
        <v>3184</v>
      </c>
      <c r="G1254" t="s">
        <v>2037</v>
      </c>
      <c r="H1254" t="s">
        <v>2038</v>
      </c>
    </row>
    <row r="1255" spans="1:8" x14ac:dyDescent="0.25">
      <c r="A1255" t="s">
        <v>585</v>
      </c>
      <c r="B1255" t="s">
        <v>594</v>
      </c>
      <c r="C1255" t="s">
        <v>1133</v>
      </c>
      <c r="D1255" t="s">
        <v>1954</v>
      </c>
      <c r="E1255" t="s">
        <v>594</v>
      </c>
      <c r="F1255" t="s">
        <v>3185</v>
      </c>
      <c r="G1255" t="s">
        <v>2037</v>
      </c>
      <c r="H1255" t="s">
        <v>2038</v>
      </c>
    </row>
    <row r="1256" spans="1:8" x14ac:dyDescent="0.25">
      <c r="A1256" t="s">
        <v>585</v>
      </c>
      <c r="B1256" t="s">
        <v>595</v>
      </c>
      <c r="C1256" t="s">
        <v>1131</v>
      </c>
      <c r="D1256" t="s">
        <v>1955</v>
      </c>
      <c r="E1256" t="s">
        <v>595</v>
      </c>
      <c r="F1256" t="s">
        <v>3186</v>
      </c>
      <c r="G1256" t="s">
        <v>2037</v>
      </c>
      <c r="H1256" t="s">
        <v>2038</v>
      </c>
    </row>
    <row r="1257" spans="1:8" x14ac:dyDescent="0.25">
      <c r="A1257" t="s">
        <v>585</v>
      </c>
      <c r="B1257" t="s">
        <v>26</v>
      </c>
      <c r="C1257" t="s">
        <v>685</v>
      </c>
      <c r="D1257" t="s">
        <v>1956</v>
      </c>
      <c r="E1257" t="s">
        <v>687</v>
      </c>
      <c r="F1257" t="s">
        <v>3187</v>
      </c>
      <c r="G1257" t="s">
        <v>2037</v>
      </c>
      <c r="H1257" t="s">
        <v>2038</v>
      </c>
    </row>
    <row r="1258" spans="1:8" x14ac:dyDescent="0.25">
      <c r="A1258" t="s">
        <v>579</v>
      </c>
      <c r="B1258" t="s">
        <v>27</v>
      </c>
      <c r="C1258" t="s">
        <v>688</v>
      </c>
      <c r="D1258" t="s">
        <v>1957</v>
      </c>
      <c r="E1258" t="s">
        <v>1957</v>
      </c>
      <c r="F1258" t="s">
        <v>3188</v>
      </c>
      <c r="G1258" t="s">
        <v>2037</v>
      </c>
      <c r="H1258" t="s">
        <v>2038</v>
      </c>
    </row>
    <row r="1259" spans="1:8" x14ac:dyDescent="0.25">
      <c r="A1259" t="s">
        <v>580</v>
      </c>
      <c r="B1259" t="s">
        <v>28</v>
      </c>
      <c r="C1259" t="s">
        <v>690</v>
      </c>
      <c r="F1259" t="s">
        <v>3189</v>
      </c>
      <c r="G1259" t="s">
        <v>2037</v>
      </c>
      <c r="H1259" t="s">
        <v>2038</v>
      </c>
    </row>
    <row r="1260" spans="1:8" x14ac:dyDescent="0.25">
      <c r="A1260" t="s">
        <v>580</v>
      </c>
      <c r="B1260" t="s">
        <v>29</v>
      </c>
      <c r="C1260" t="s">
        <v>693</v>
      </c>
      <c r="F1260" t="s">
        <v>3190</v>
      </c>
      <c r="G1260" t="s">
        <v>2037</v>
      </c>
      <c r="H1260" t="s">
        <v>2038</v>
      </c>
    </row>
    <row r="1261" spans="1:8" x14ac:dyDescent="0.25">
      <c r="A1261" t="s">
        <v>596</v>
      </c>
      <c r="B1261" t="s">
        <v>3</v>
      </c>
      <c r="C1261" t="s">
        <v>633</v>
      </c>
      <c r="D1261" t="s">
        <v>1958</v>
      </c>
      <c r="E1261" t="s">
        <v>635</v>
      </c>
      <c r="F1261" t="s">
        <v>3191</v>
      </c>
      <c r="G1261" t="s">
        <v>2037</v>
      </c>
      <c r="H1261" t="s">
        <v>2038</v>
      </c>
    </row>
    <row r="1262" spans="1:8" x14ac:dyDescent="0.25">
      <c r="A1262" t="s">
        <v>597</v>
      </c>
      <c r="B1262" t="s">
        <v>5</v>
      </c>
      <c r="C1262" t="s">
        <v>636</v>
      </c>
      <c r="D1262" t="s">
        <v>1959</v>
      </c>
      <c r="E1262" t="s">
        <v>638</v>
      </c>
      <c r="F1262" t="s">
        <v>3192</v>
      </c>
      <c r="G1262" t="s">
        <v>2037</v>
      </c>
      <c r="H1262" t="s">
        <v>2038</v>
      </c>
    </row>
    <row r="1263" spans="1:8" x14ac:dyDescent="0.25">
      <c r="A1263" t="s">
        <v>597</v>
      </c>
      <c r="B1263" t="s">
        <v>598</v>
      </c>
      <c r="C1263" t="s">
        <v>1714</v>
      </c>
      <c r="D1263" t="s">
        <v>1960</v>
      </c>
      <c r="E1263" t="s">
        <v>598</v>
      </c>
      <c r="F1263" t="s">
        <v>3193</v>
      </c>
      <c r="G1263" t="s">
        <v>2037</v>
      </c>
      <c r="H1263" t="s">
        <v>2038</v>
      </c>
    </row>
    <row r="1264" spans="1:8" x14ac:dyDescent="0.25">
      <c r="A1264" t="s">
        <v>597</v>
      </c>
      <c r="B1264" t="s">
        <v>599</v>
      </c>
      <c r="C1264" t="s">
        <v>1716</v>
      </c>
      <c r="D1264" t="s">
        <v>1961</v>
      </c>
      <c r="E1264" t="s">
        <v>1103</v>
      </c>
      <c r="F1264" t="s">
        <v>3194</v>
      </c>
      <c r="G1264" t="s">
        <v>2037</v>
      </c>
      <c r="H1264" t="s">
        <v>2038</v>
      </c>
    </row>
    <row r="1265" spans="1:8" x14ac:dyDescent="0.25">
      <c r="A1265" t="s">
        <v>597</v>
      </c>
      <c r="B1265" t="s">
        <v>600</v>
      </c>
      <c r="C1265" t="s">
        <v>1718</v>
      </c>
      <c r="D1265" t="s">
        <v>1962</v>
      </c>
      <c r="E1265" t="s">
        <v>600</v>
      </c>
      <c r="F1265" t="s">
        <v>3195</v>
      </c>
      <c r="G1265" t="s">
        <v>2037</v>
      </c>
      <c r="H1265" t="s">
        <v>2038</v>
      </c>
    </row>
    <row r="1266" spans="1:8" x14ac:dyDescent="0.25">
      <c r="A1266" t="s">
        <v>597</v>
      </c>
      <c r="B1266" t="s">
        <v>601</v>
      </c>
      <c r="C1266" t="s">
        <v>1720</v>
      </c>
      <c r="D1266" t="s">
        <v>1963</v>
      </c>
      <c r="E1266" t="s">
        <v>601</v>
      </c>
      <c r="F1266" t="s">
        <v>3196</v>
      </c>
      <c r="G1266" t="s">
        <v>2037</v>
      </c>
      <c r="H1266" t="s">
        <v>2038</v>
      </c>
    </row>
    <row r="1267" spans="1:8" x14ac:dyDescent="0.25">
      <c r="A1267" t="s">
        <v>597</v>
      </c>
      <c r="B1267" t="s">
        <v>8</v>
      </c>
      <c r="C1267" t="s">
        <v>1110</v>
      </c>
      <c r="D1267" t="s">
        <v>1964</v>
      </c>
      <c r="E1267" t="s">
        <v>8</v>
      </c>
      <c r="F1267" t="s">
        <v>3197</v>
      </c>
      <c r="G1267" t="s">
        <v>2037</v>
      </c>
      <c r="H1267" t="s">
        <v>2038</v>
      </c>
    </row>
    <row r="1268" spans="1:8" x14ac:dyDescent="0.25">
      <c r="A1268" t="s">
        <v>597</v>
      </c>
      <c r="B1268" t="s">
        <v>14</v>
      </c>
      <c r="C1268" t="s">
        <v>661</v>
      </c>
      <c r="D1268" t="s">
        <v>1965</v>
      </c>
      <c r="E1268" t="s">
        <v>1724</v>
      </c>
      <c r="F1268" t="s">
        <v>3198</v>
      </c>
      <c r="G1268" t="s">
        <v>2037</v>
      </c>
      <c r="H1268" t="s">
        <v>2038</v>
      </c>
    </row>
    <row r="1269" spans="1:8" x14ac:dyDescent="0.25">
      <c r="D1269" t="s">
        <v>1966</v>
      </c>
      <c r="E1269" t="s">
        <v>1967</v>
      </c>
      <c r="F1269" t="s">
        <v>2079</v>
      </c>
    </row>
    <row r="1270" spans="1:8" x14ac:dyDescent="0.25">
      <c r="A1270" t="s">
        <v>602</v>
      </c>
      <c r="B1270" t="s">
        <v>16</v>
      </c>
      <c r="C1270" t="s">
        <v>1116</v>
      </c>
      <c r="D1270" t="s">
        <v>1968</v>
      </c>
      <c r="E1270" t="s">
        <v>16</v>
      </c>
      <c r="F1270" t="s">
        <v>3199</v>
      </c>
      <c r="G1270" t="s">
        <v>2037</v>
      </c>
      <c r="H1270" t="s">
        <v>2038</v>
      </c>
    </row>
    <row r="1271" spans="1:8" x14ac:dyDescent="0.25">
      <c r="A1271" t="s">
        <v>602</v>
      </c>
      <c r="B1271" t="s">
        <v>17</v>
      </c>
      <c r="C1271" t="s">
        <v>1728</v>
      </c>
      <c r="D1271" t="s">
        <v>1969</v>
      </c>
      <c r="E1271" t="s">
        <v>17</v>
      </c>
      <c r="F1271" t="s">
        <v>3200</v>
      </c>
      <c r="G1271" t="s">
        <v>2037</v>
      </c>
      <c r="H1271" t="s">
        <v>2038</v>
      </c>
    </row>
    <row r="1272" spans="1:8" x14ac:dyDescent="0.25">
      <c r="A1272" t="s">
        <v>602</v>
      </c>
      <c r="B1272" t="s">
        <v>603</v>
      </c>
      <c r="C1272" t="s">
        <v>673</v>
      </c>
      <c r="D1272" t="s">
        <v>1970</v>
      </c>
      <c r="E1272" t="s">
        <v>603</v>
      </c>
      <c r="F1272" t="s">
        <v>3201</v>
      </c>
      <c r="G1272" t="s">
        <v>2037</v>
      </c>
      <c r="H1272" t="s">
        <v>2038</v>
      </c>
    </row>
    <row r="1273" spans="1:8" x14ac:dyDescent="0.25">
      <c r="A1273" t="s">
        <v>602</v>
      </c>
      <c r="B1273" t="s">
        <v>604</v>
      </c>
      <c r="C1273" t="s">
        <v>675</v>
      </c>
      <c r="D1273" t="s">
        <v>1971</v>
      </c>
      <c r="E1273" t="s">
        <v>604</v>
      </c>
      <c r="F1273" t="s">
        <v>3202</v>
      </c>
      <c r="G1273" t="s">
        <v>2037</v>
      </c>
      <c r="H1273" t="s">
        <v>2038</v>
      </c>
    </row>
    <row r="1274" spans="1:8" x14ac:dyDescent="0.25">
      <c r="A1274" t="s">
        <v>602</v>
      </c>
      <c r="B1274" t="s">
        <v>605</v>
      </c>
      <c r="C1274" t="s">
        <v>677</v>
      </c>
      <c r="D1274" t="s">
        <v>1972</v>
      </c>
      <c r="E1274" t="s">
        <v>605</v>
      </c>
      <c r="F1274" t="s">
        <v>3203</v>
      </c>
      <c r="G1274" t="s">
        <v>2037</v>
      </c>
      <c r="H1274" t="s">
        <v>2038</v>
      </c>
    </row>
    <row r="1275" spans="1:8" x14ac:dyDescent="0.25">
      <c r="A1275" t="s">
        <v>602</v>
      </c>
      <c r="B1275" t="s">
        <v>606</v>
      </c>
      <c r="C1275" t="s">
        <v>679</v>
      </c>
      <c r="D1275" t="s">
        <v>1973</v>
      </c>
      <c r="E1275" t="s">
        <v>606</v>
      </c>
      <c r="F1275" t="s">
        <v>3204</v>
      </c>
      <c r="G1275" t="s">
        <v>2037</v>
      </c>
      <c r="H1275" t="s">
        <v>2038</v>
      </c>
    </row>
    <row r="1276" spans="1:8" x14ac:dyDescent="0.25">
      <c r="A1276" t="s">
        <v>602</v>
      </c>
      <c r="B1276" t="s">
        <v>607</v>
      </c>
      <c r="C1276" t="s">
        <v>1124</v>
      </c>
      <c r="D1276" t="s">
        <v>1974</v>
      </c>
      <c r="E1276" t="s">
        <v>607</v>
      </c>
      <c r="F1276" t="s">
        <v>3205</v>
      </c>
      <c r="G1276" t="s">
        <v>2037</v>
      </c>
      <c r="H1276" t="s">
        <v>2038</v>
      </c>
    </row>
    <row r="1277" spans="1:8" x14ac:dyDescent="0.25">
      <c r="A1277" t="s">
        <v>602</v>
      </c>
      <c r="B1277" t="s">
        <v>608</v>
      </c>
      <c r="C1277" t="s">
        <v>1126</v>
      </c>
      <c r="D1277" t="s">
        <v>1975</v>
      </c>
      <c r="E1277" t="s">
        <v>608</v>
      </c>
      <c r="F1277" t="s">
        <v>3206</v>
      </c>
      <c r="G1277" t="s">
        <v>2037</v>
      </c>
      <c r="H1277" t="s">
        <v>2038</v>
      </c>
    </row>
    <row r="1278" spans="1:8" x14ac:dyDescent="0.25">
      <c r="A1278" t="s">
        <v>602</v>
      </c>
      <c r="B1278" t="s">
        <v>609</v>
      </c>
      <c r="C1278" t="s">
        <v>671</v>
      </c>
      <c r="D1278" t="s">
        <v>1976</v>
      </c>
      <c r="E1278" t="s">
        <v>609</v>
      </c>
      <c r="F1278" t="s">
        <v>3207</v>
      </c>
      <c r="G1278" t="s">
        <v>2037</v>
      </c>
      <c r="H1278" t="s">
        <v>2038</v>
      </c>
    </row>
    <row r="1279" spans="1:8" x14ac:dyDescent="0.25">
      <c r="A1279" t="s">
        <v>602</v>
      </c>
      <c r="B1279" t="s">
        <v>610</v>
      </c>
      <c r="C1279" t="s">
        <v>671</v>
      </c>
      <c r="D1279" t="s">
        <v>1977</v>
      </c>
      <c r="E1279" t="s">
        <v>610</v>
      </c>
      <c r="F1279" t="s">
        <v>3208</v>
      </c>
      <c r="G1279" t="s">
        <v>2037</v>
      </c>
      <c r="H1279" t="s">
        <v>2038</v>
      </c>
    </row>
    <row r="1280" spans="1:8" x14ac:dyDescent="0.25">
      <c r="A1280" t="s">
        <v>602</v>
      </c>
      <c r="B1280" t="s">
        <v>611</v>
      </c>
      <c r="C1280" t="s">
        <v>1133</v>
      </c>
      <c r="D1280" t="s">
        <v>1978</v>
      </c>
      <c r="E1280" t="s">
        <v>611</v>
      </c>
      <c r="F1280" t="s">
        <v>3209</v>
      </c>
      <c r="G1280" t="s">
        <v>2037</v>
      </c>
      <c r="H1280" t="s">
        <v>2038</v>
      </c>
    </row>
    <row r="1281" spans="1:8" x14ac:dyDescent="0.25">
      <c r="A1281" t="s">
        <v>602</v>
      </c>
      <c r="B1281" t="s">
        <v>612</v>
      </c>
      <c r="C1281" t="s">
        <v>1131</v>
      </c>
      <c r="D1281" t="s">
        <v>1979</v>
      </c>
      <c r="E1281" t="s">
        <v>612</v>
      </c>
      <c r="F1281" t="s">
        <v>3210</v>
      </c>
      <c r="G1281" t="s">
        <v>2037</v>
      </c>
      <c r="H1281" t="s">
        <v>2038</v>
      </c>
    </row>
    <row r="1282" spans="1:8" x14ac:dyDescent="0.25">
      <c r="A1282" t="s">
        <v>602</v>
      </c>
      <c r="B1282" t="s">
        <v>26</v>
      </c>
      <c r="C1282" t="s">
        <v>685</v>
      </c>
      <c r="D1282" t="s">
        <v>1980</v>
      </c>
      <c r="E1282" t="s">
        <v>687</v>
      </c>
      <c r="F1282" t="s">
        <v>3211</v>
      </c>
      <c r="G1282" t="s">
        <v>2037</v>
      </c>
      <c r="H1282" t="s">
        <v>2038</v>
      </c>
    </row>
    <row r="1283" spans="1:8" x14ac:dyDescent="0.25">
      <c r="A1283" t="s">
        <v>596</v>
      </c>
      <c r="B1283" t="s">
        <v>27</v>
      </c>
      <c r="C1283" t="s">
        <v>688</v>
      </c>
      <c r="D1283" t="s">
        <v>1981</v>
      </c>
      <c r="E1283" t="s">
        <v>1981</v>
      </c>
      <c r="F1283" t="s">
        <v>3212</v>
      </c>
      <c r="G1283" t="s">
        <v>2037</v>
      </c>
      <c r="H1283" t="s">
        <v>2038</v>
      </c>
    </row>
    <row r="1284" spans="1:8" x14ac:dyDescent="0.25">
      <c r="A1284" t="s">
        <v>597</v>
      </c>
      <c r="B1284" t="s">
        <v>28</v>
      </c>
      <c r="C1284" t="s">
        <v>690</v>
      </c>
      <c r="F1284" t="s">
        <v>3213</v>
      </c>
      <c r="G1284" t="s">
        <v>2037</v>
      </c>
      <c r="H1284" t="s">
        <v>2038</v>
      </c>
    </row>
    <row r="1285" spans="1:8" x14ac:dyDescent="0.25">
      <c r="A1285" t="s">
        <v>597</v>
      </c>
      <c r="B1285" t="s">
        <v>29</v>
      </c>
      <c r="C1285" t="s">
        <v>693</v>
      </c>
      <c r="F1285" t="s">
        <v>3214</v>
      </c>
      <c r="G1285" t="s">
        <v>2037</v>
      </c>
      <c r="H1285" t="s">
        <v>2038</v>
      </c>
    </row>
    <row r="1286" spans="1:8" x14ac:dyDescent="0.25">
      <c r="A1286" t="s">
        <v>613</v>
      </c>
      <c r="B1286" t="s">
        <v>3</v>
      </c>
      <c r="C1286" t="s">
        <v>633</v>
      </c>
      <c r="D1286" t="s">
        <v>1982</v>
      </c>
      <c r="E1286" t="s">
        <v>635</v>
      </c>
      <c r="F1286" t="s">
        <v>3215</v>
      </c>
      <c r="G1286" t="s">
        <v>2037</v>
      </c>
      <c r="H1286" t="s">
        <v>2038</v>
      </c>
    </row>
    <row r="1287" spans="1:8" x14ac:dyDescent="0.25">
      <c r="A1287" t="s">
        <v>614</v>
      </c>
      <c r="B1287" t="s">
        <v>5</v>
      </c>
      <c r="C1287" t="s">
        <v>636</v>
      </c>
      <c r="D1287" t="s">
        <v>1983</v>
      </c>
      <c r="E1287" t="s">
        <v>638</v>
      </c>
      <c r="F1287" t="s">
        <v>3216</v>
      </c>
      <c r="G1287" t="s">
        <v>2037</v>
      </c>
      <c r="H1287" t="s">
        <v>2038</v>
      </c>
    </row>
    <row r="1288" spans="1:8" x14ac:dyDescent="0.25">
      <c r="A1288" t="s">
        <v>614</v>
      </c>
      <c r="B1288" t="s">
        <v>615</v>
      </c>
      <c r="C1288" t="s">
        <v>1714</v>
      </c>
      <c r="D1288" t="s">
        <v>1984</v>
      </c>
      <c r="E1288" t="s">
        <v>615</v>
      </c>
      <c r="F1288" t="s">
        <v>3217</v>
      </c>
      <c r="G1288" t="s">
        <v>2037</v>
      </c>
      <c r="H1288" t="s">
        <v>2038</v>
      </c>
    </row>
    <row r="1289" spans="1:8" x14ac:dyDescent="0.25">
      <c r="A1289" t="s">
        <v>614</v>
      </c>
      <c r="B1289" t="s">
        <v>616</v>
      </c>
      <c r="C1289" t="s">
        <v>1716</v>
      </c>
      <c r="D1289" t="s">
        <v>1985</v>
      </c>
      <c r="E1289" t="s">
        <v>1103</v>
      </c>
      <c r="F1289" t="s">
        <v>3218</v>
      </c>
      <c r="G1289" t="s">
        <v>2037</v>
      </c>
      <c r="H1289" t="s">
        <v>2038</v>
      </c>
    </row>
    <row r="1290" spans="1:8" x14ac:dyDescent="0.25">
      <c r="A1290" t="s">
        <v>614</v>
      </c>
      <c r="B1290" t="s">
        <v>617</v>
      </c>
      <c r="C1290" t="s">
        <v>1718</v>
      </c>
      <c r="D1290" t="s">
        <v>1986</v>
      </c>
      <c r="E1290" t="s">
        <v>617</v>
      </c>
      <c r="F1290" t="s">
        <v>3219</v>
      </c>
      <c r="G1290" t="s">
        <v>2037</v>
      </c>
      <c r="H1290" t="s">
        <v>2038</v>
      </c>
    </row>
    <row r="1291" spans="1:8" x14ac:dyDescent="0.25">
      <c r="A1291" t="s">
        <v>614</v>
      </c>
      <c r="B1291" t="s">
        <v>618</v>
      </c>
      <c r="C1291" t="s">
        <v>1720</v>
      </c>
      <c r="D1291" t="s">
        <v>1987</v>
      </c>
      <c r="E1291" t="s">
        <v>618</v>
      </c>
      <c r="F1291" t="s">
        <v>3220</v>
      </c>
      <c r="G1291" t="s">
        <v>2037</v>
      </c>
      <c r="H1291" t="s">
        <v>2038</v>
      </c>
    </row>
    <row r="1292" spans="1:8" x14ac:dyDescent="0.25">
      <c r="A1292" t="s">
        <v>614</v>
      </c>
      <c r="B1292" t="s">
        <v>8</v>
      </c>
      <c r="C1292" t="s">
        <v>1110</v>
      </c>
      <c r="D1292" t="s">
        <v>1988</v>
      </c>
      <c r="E1292" t="s">
        <v>8</v>
      </c>
      <c r="F1292" t="s">
        <v>3221</v>
      </c>
      <c r="G1292" t="s">
        <v>2037</v>
      </c>
      <c r="H1292" t="s">
        <v>2038</v>
      </c>
    </row>
    <row r="1293" spans="1:8" x14ac:dyDescent="0.25">
      <c r="A1293" t="s">
        <v>614</v>
      </c>
      <c r="B1293" t="s">
        <v>14</v>
      </c>
      <c r="C1293" t="s">
        <v>661</v>
      </c>
      <c r="D1293" t="s">
        <v>1989</v>
      </c>
      <c r="E1293" t="s">
        <v>1724</v>
      </c>
      <c r="F1293" t="s">
        <v>3222</v>
      </c>
      <c r="G1293" t="s">
        <v>2037</v>
      </c>
      <c r="H1293" t="s">
        <v>2038</v>
      </c>
    </row>
    <row r="1294" spans="1:8" x14ac:dyDescent="0.25">
      <c r="D1294" t="s">
        <v>1990</v>
      </c>
      <c r="E1294" t="s">
        <v>1991</v>
      </c>
      <c r="F1294" t="s">
        <v>2079</v>
      </c>
    </row>
    <row r="1295" spans="1:8" x14ac:dyDescent="0.25">
      <c r="A1295" t="s">
        <v>619</v>
      </c>
      <c r="B1295" t="s">
        <v>16</v>
      </c>
      <c r="C1295" t="s">
        <v>1116</v>
      </c>
      <c r="D1295" t="s">
        <v>1992</v>
      </c>
      <c r="E1295" t="s">
        <v>16</v>
      </c>
      <c r="F1295" t="s">
        <v>3223</v>
      </c>
      <c r="G1295" t="s">
        <v>2037</v>
      </c>
      <c r="H1295" t="s">
        <v>2038</v>
      </c>
    </row>
    <row r="1296" spans="1:8" x14ac:dyDescent="0.25">
      <c r="A1296" t="s">
        <v>619</v>
      </c>
      <c r="B1296" t="s">
        <v>17</v>
      </c>
      <c r="C1296" t="s">
        <v>1728</v>
      </c>
      <c r="D1296" t="s">
        <v>1993</v>
      </c>
      <c r="E1296" t="s">
        <v>17</v>
      </c>
      <c r="F1296" t="s">
        <v>3224</v>
      </c>
      <c r="G1296" t="s">
        <v>2037</v>
      </c>
      <c r="H1296" t="s">
        <v>2038</v>
      </c>
    </row>
    <row r="1297" spans="1:8" x14ac:dyDescent="0.25">
      <c r="A1297" t="s">
        <v>619</v>
      </c>
      <c r="B1297" t="s">
        <v>620</v>
      </c>
      <c r="C1297" t="s">
        <v>673</v>
      </c>
      <c r="D1297" t="s">
        <v>1994</v>
      </c>
      <c r="E1297" t="s">
        <v>620</v>
      </c>
      <c r="F1297" t="s">
        <v>3225</v>
      </c>
      <c r="G1297" t="s">
        <v>2037</v>
      </c>
      <c r="H1297" t="s">
        <v>2038</v>
      </c>
    </row>
    <row r="1298" spans="1:8" x14ac:dyDescent="0.25">
      <c r="A1298" t="s">
        <v>619</v>
      </c>
      <c r="B1298" t="s">
        <v>621</v>
      </c>
      <c r="C1298" t="s">
        <v>675</v>
      </c>
      <c r="D1298" t="s">
        <v>1995</v>
      </c>
      <c r="E1298" t="s">
        <v>621</v>
      </c>
      <c r="F1298" t="s">
        <v>3226</v>
      </c>
      <c r="G1298" t="s">
        <v>2037</v>
      </c>
      <c r="H1298" t="s">
        <v>2038</v>
      </c>
    </row>
    <row r="1299" spans="1:8" x14ac:dyDescent="0.25">
      <c r="A1299" t="s">
        <v>619</v>
      </c>
      <c r="B1299" t="s">
        <v>622</v>
      </c>
      <c r="C1299" t="s">
        <v>677</v>
      </c>
      <c r="D1299" t="s">
        <v>1996</v>
      </c>
      <c r="E1299" t="s">
        <v>622</v>
      </c>
      <c r="F1299" t="s">
        <v>3227</v>
      </c>
      <c r="G1299" t="s">
        <v>2037</v>
      </c>
      <c r="H1299" t="s">
        <v>2038</v>
      </c>
    </row>
    <row r="1300" spans="1:8" x14ac:dyDescent="0.25">
      <c r="A1300" t="s">
        <v>619</v>
      </c>
      <c r="B1300" t="s">
        <v>623</v>
      </c>
      <c r="C1300" t="s">
        <v>679</v>
      </c>
      <c r="D1300" t="s">
        <v>1997</v>
      </c>
      <c r="E1300" t="s">
        <v>623</v>
      </c>
      <c r="F1300" t="s">
        <v>3228</v>
      </c>
      <c r="G1300" t="s">
        <v>2037</v>
      </c>
      <c r="H1300" t="s">
        <v>2038</v>
      </c>
    </row>
    <row r="1301" spans="1:8" x14ac:dyDescent="0.25">
      <c r="A1301" t="s">
        <v>619</v>
      </c>
      <c r="B1301" t="s">
        <v>624</v>
      </c>
      <c r="C1301" t="s">
        <v>1124</v>
      </c>
      <c r="D1301" t="s">
        <v>1998</v>
      </c>
      <c r="E1301" t="s">
        <v>624</v>
      </c>
      <c r="F1301" t="s">
        <v>3229</v>
      </c>
      <c r="G1301" t="s">
        <v>2037</v>
      </c>
      <c r="H1301" t="s">
        <v>2038</v>
      </c>
    </row>
    <row r="1302" spans="1:8" x14ac:dyDescent="0.25">
      <c r="A1302" t="s">
        <v>619</v>
      </c>
      <c r="B1302" t="s">
        <v>625</v>
      </c>
      <c r="C1302" t="s">
        <v>1126</v>
      </c>
      <c r="D1302" t="s">
        <v>1999</v>
      </c>
      <c r="E1302" t="s">
        <v>625</v>
      </c>
      <c r="F1302" t="s">
        <v>3230</v>
      </c>
      <c r="G1302" t="s">
        <v>2037</v>
      </c>
      <c r="H1302" t="s">
        <v>2038</v>
      </c>
    </row>
    <row r="1303" spans="1:8" x14ac:dyDescent="0.25">
      <c r="A1303" t="s">
        <v>619</v>
      </c>
      <c r="B1303" t="s">
        <v>626</v>
      </c>
      <c r="C1303" t="s">
        <v>671</v>
      </c>
      <c r="D1303" t="s">
        <v>2000</v>
      </c>
      <c r="E1303" t="s">
        <v>626</v>
      </c>
      <c r="F1303" t="s">
        <v>3231</v>
      </c>
      <c r="G1303" t="s">
        <v>2037</v>
      </c>
      <c r="H1303" t="s">
        <v>2038</v>
      </c>
    </row>
    <row r="1304" spans="1:8" x14ac:dyDescent="0.25">
      <c r="A1304" t="s">
        <v>619</v>
      </c>
      <c r="B1304" t="s">
        <v>627</v>
      </c>
      <c r="C1304" t="s">
        <v>671</v>
      </c>
      <c r="D1304" t="s">
        <v>2001</v>
      </c>
      <c r="E1304" t="s">
        <v>627</v>
      </c>
      <c r="F1304" t="s">
        <v>3232</v>
      </c>
      <c r="G1304" t="s">
        <v>2037</v>
      </c>
      <c r="H1304" t="s">
        <v>2038</v>
      </c>
    </row>
    <row r="1305" spans="1:8" x14ac:dyDescent="0.25">
      <c r="A1305" t="s">
        <v>619</v>
      </c>
      <c r="B1305" t="s">
        <v>628</v>
      </c>
      <c r="C1305" t="s">
        <v>1133</v>
      </c>
      <c r="D1305" t="s">
        <v>2002</v>
      </c>
      <c r="E1305" t="s">
        <v>628</v>
      </c>
      <c r="F1305" t="s">
        <v>3233</v>
      </c>
      <c r="G1305" t="s">
        <v>2037</v>
      </c>
      <c r="H1305" t="s">
        <v>2038</v>
      </c>
    </row>
    <row r="1306" spans="1:8" x14ac:dyDescent="0.25">
      <c r="A1306" t="s">
        <v>619</v>
      </c>
      <c r="B1306" t="s">
        <v>629</v>
      </c>
      <c r="C1306" t="s">
        <v>1131</v>
      </c>
      <c r="D1306" t="s">
        <v>2003</v>
      </c>
      <c r="E1306" t="s">
        <v>629</v>
      </c>
      <c r="F1306" t="s">
        <v>3234</v>
      </c>
      <c r="G1306" t="s">
        <v>2037</v>
      </c>
      <c r="H1306" t="s">
        <v>2038</v>
      </c>
    </row>
    <row r="1307" spans="1:8" x14ac:dyDescent="0.25">
      <c r="A1307" t="s">
        <v>619</v>
      </c>
      <c r="B1307" t="s">
        <v>26</v>
      </c>
      <c r="C1307" t="s">
        <v>685</v>
      </c>
      <c r="D1307" t="s">
        <v>2004</v>
      </c>
      <c r="E1307" t="s">
        <v>687</v>
      </c>
      <c r="F1307" t="s">
        <v>3235</v>
      </c>
      <c r="G1307" t="s">
        <v>2037</v>
      </c>
      <c r="H1307" t="s">
        <v>2038</v>
      </c>
    </row>
    <row r="1308" spans="1:8" x14ac:dyDescent="0.25">
      <c r="A1308" t="s">
        <v>613</v>
      </c>
      <c r="B1308" t="s">
        <v>27</v>
      </c>
      <c r="C1308" t="s">
        <v>688</v>
      </c>
      <c r="D1308" t="s">
        <v>2005</v>
      </c>
      <c r="E1308" t="s">
        <v>2005</v>
      </c>
      <c r="F1308" t="s">
        <v>3236</v>
      </c>
      <c r="G1308" t="s">
        <v>2037</v>
      </c>
      <c r="H1308" t="s">
        <v>2038</v>
      </c>
    </row>
    <row r="1309" spans="1:8" x14ac:dyDescent="0.25">
      <c r="A1309" t="s">
        <v>614</v>
      </c>
      <c r="B1309" t="s">
        <v>28</v>
      </c>
      <c r="C1309" t="s">
        <v>690</v>
      </c>
      <c r="F1309" t="s">
        <v>3237</v>
      </c>
      <c r="G1309" t="s">
        <v>2037</v>
      </c>
      <c r="H1309" t="s">
        <v>2038</v>
      </c>
    </row>
    <row r="1310" spans="1:8" x14ac:dyDescent="0.25">
      <c r="A1310" t="s">
        <v>614</v>
      </c>
      <c r="B1310" t="s">
        <v>29</v>
      </c>
      <c r="C1310" t="s">
        <v>693</v>
      </c>
      <c r="F1310" t="s">
        <v>3238</v>
      </c>
      <c r="G1310" t="s">
        <v>2037</v>
      </c>
      <c r="H1310" t="s">
        <v>2038</v>
      </c>
    </row>
    <row r="1311" spans="1:8" x14ac:dyDescent="0.25">
      <c r="D1311" t="s">
        <v>128</v>
      </c>
      <c r="E1311" t="s">
        <v>2006</v>
      </c>
      <c r="F1311" t="s">
        <v>3239</v>
      </c>
      <c r="G1311" t="s">
        <v>2037</v>
      </c>
      <c r="H1311" t="s">
        <v>2038</v>
      </c>
    </row>
    <row r="1312" spans="1:8" x14ac:dyDescent="0.25">
      <c r="D1312" t="s">
        <v>129</v>
      </c>
      <c r="E1312" t="s">
        <v>2006</v>
      </c>
      <c r="F1312" t="s">
        <v>3240</v>
      </c>
      <c r="G1312" t="s">
        <v>2037</v>
      </c>
      <c r="H1312" t="s">
        <v>2038</v>
      </c>
    </row>
    <row r="1313" spans="4:8" x14ac:dyDescent="0.25">
      <c r="D1313" t="s">
        <v>145</v>
      </c>
      <c r="E1313" t="s">
        <v>2006</v>
      </c>
      <c r="F1313" t="s">
        <v>3241</v>
      </c>
      <c r="G1313" t="s">
        <v>2037</v>
      </c>
      <c r="H1313" t="s">
        <v>2038</v>
      </c>
    </row>
    <row r="1314" spans="4:8" x14ac:dyDescent="0.25">
      <c r="D1314" t="s">
        <v>146</v>
      </c>
      <c r="E1314" t="s">
        <v>2006</v>
      </c>
      <c r="F1314" t="s">
        <v>3242</v>
      </c>
      <c r="G1314" t="s">
        <v>2037</v>
      </c>
      <c r="H1314" t="s">
        <v>2038</v>
      </c>
    </row>
    <row r="1315" spans="4:8" x14ac:dyDescent="0.25">
      <c r="D1315" t="s">
        <v>162</v>
      </c>
      <c r="E1315" t="s">
        <v>2006</v>
      </c>
      <c r="F1315" t="s">
        <v>3243</v>
      </c>
      <c r="G1315" t="s">
        <v>2037</v>
      </c>
      <c r="H1315" t="s">
        <v>2038</v>
      </c>
    </row>
    <row r="1316" spans="4:8" x14ac:dyDescent="0.25">
      <c r="D1316" t="s">
        <v>163</v>
      </c>
      <c r="E1316" t="s">
        <v>2006</v>
      </c>
      <c r="F1316" t="s">
        <v>3244</v>
      </c>
      <c r="G1316" t="s">
        <v>2037</v>
      </c>
      <c r="H1316" t="s">
        <v>2038</v>
      </c>
    </row>
    <row r="1317" spans="4:8" x14ac:dyDescent="0.25">
      <c r="D1317" t="s">
        <v>179</v>
      </c>
      <c r="E1317" t="s">
        <v>2006</v>
      </c>
      <c r="F1317" t="s">
        <v>3245</v>
      </c>
      <c r="G1317" t="s">
        <v>2037</v>
      </c>
      <c r="H1317" t="s">
        <v>2038</v>
      </c>
    </row>
    <row r="1318" spans="4:8" x14ac:dyDescent="0.25">
      <c r="D1318" t="s">
        <v>180</v>
      </c>
      <c r="E1318" t="s">
        <v>2006</v>
      </c>
      <c r="F1318" t="s">
        <v>3246</v>
      </c>
      <c r="G1318" t="s">
        <v>2037</v>
      </c>
      <c r="H1318" t="s">
        <v>2038</v>
      </c>
    </row>
    <row r="1319" spans="4:8" x14ac:dyDescent="0.25">
      <c r="D1319" t="s">
        <v>209</v>
      </c>
      <c r="E1319" t="s">
        <v>2006</v>
      </c>
      <c r="F1319" t="s">
        <v>3247</v>
      </c>
      <c r="G1319" t="s">
        <v>2037</v>
      </c>
      <c r="H1319" t="s">
        <v>2038</v>
      </c>
    </row>
    <row r="1320" spans="4:8" x14ac:dyDescent="0.25">
      <c r="D1320" t="s">
        <v>210</v>
      </c>
      <c r="E1320" t="s">
        <v>2006</v>
      </c>
      <c r="F1320" t="s">
        <v>3248</v>
      </c>
      <c r="G1320" t="s">
        <v>2037</v>
      </c>
      <c r="H1320" t="s">
        <v>2038</v>
      </c>
    </row>
    <row r="1321" spans="4:8" x14ac:dyDescent="0.25">
      <c r="D1321" t="s">
        <v>226</v>
      </c>
      <c r="E1321" t="s">
        <v>2006</v>
      </c>
      <c r="F1321" t="s">
        <v>3249</v>
      </c>
      <c r="G1321" t="s">
        <v>2037</v>
      </c>
      <c r="H1321" t="s">
        <v>2038</v>
      </c>
    </row>
    <row r="1322" spans="4:8" x14ac:dyDescent="0.25">
      <c r="D1322" t="s">
        <v>227</v>
      </c>
      <c r="E1322" t="s">
        <v>2006</v>
      </c>
      <c r="F1322" t="s">
        <v>3250</v>
      </c>
      <c r="G1322" t="s">
        <v>2037</v>
      </c>
      <c r="H1322" t="s">
        <v>2038</v>
      </c>
    </row>
    <row r="1323" spans="4:8" x14ac:dyDescent="0.25">
      <c r="D1323" t="s">
        <v>430</v>
      </c>
      <c r="E1323" t="s">
        <v>2006</v>
      </c>
      <c r="F1323" t="s">
        <v>3251</v>
      </c>
      <c r="G1323" t="s">
        <v>2037</v>
      </c>
      <c r="H1323" t="s">
        <v>2038</v>
      </c>
    </row>
    <row r="1324" spans="4:8" x14ac:dyDescent="0.25">
      <c r="D1324" t="s">
        <v>431</v>
      </c>
      <c r="E1324" t="s">
        <v>2006</v>
      </c>
      <c r="F1324" t="s">
        <v>3252</v>
      </c>
      <c r="G1324" t="s">
        <v>2037</v>
      </c>
      <c r="H1324" t="s">
        <v>2038</v>
      </c>
    </row>
    <row r="1325" spans="4:8" x14ac:dyDescent="0.25">
      <c r="D1325" t="s">
        <v>447</v>
      </c>
      <c r="E1325" t="s">
        <v>2006</v>
      </c>
      <c r="F1325" t="s">
        <v>3253</v>
      </c>
      <c r="G1325" t="s">
        <v>2037</v>
      </c>
      <c r="H1325" t="s">
        <v>2038</v>
      </c>
    </row>
    <row r="1326" spans="4:8" x14ac:dyDescent="0.25">
      <c r="D1326" t="s">
        <v>448</v>
      </c>
      <c r="E1326" t="s">
        <v>2006</v>
      </c>
      <c r="F1326" t="s">
        <v>3254</v>
      </c>
      <c r="G1326" t="s">
        <v>2037</v>
      </c>
      <c r="H1326" t="s">
        <v>2038</v>
      </c>
    </row>
    <row r="1327" spans="4:8" x14ac:dyDescent="0.25">
      <c r="D1327" t="s">
        <v>498</v>
      </c>
      <c r="E1327" t="s">
        <v>2006</v>
      </c>
      <c r="F1327" t="s">
        <v>3255</v>
      </c>
      <c r="G1327" t="s">
        <v>2037</v>
      </c>
      <c r="H1327" t="s">
        <v>2038</v>
      </c>
    </row>
    <row r="1328" spans="4:8" x14ac:dyDescent="0.25">
      <c r="D1328" t="s">
        <v>499</v>
      </c>
      <c r="E1328" t="s">
        <v>2006</v>
      </c>
      <c r="F1328" t="s">
        <v>3256</v>
      </c>
      <c r="G1328" t="s">
        <v>2037</v>
      </c>
      <c r="H1328" t="s">
        <v>2038</v>
      </c>
    </row>
    <row r="1329" spans="4:8" x14ac:dyDescent="0.25">
      <c r="D1329" t="s">
        <v>515</v>
      </c>
      <c r="E1329" t="s">
        <v>2006</v>
      </c>
      <c r="F1329" t="s">
        <v>3257</v>
      </c>
      <c r="G1329" t="s">
        <v>2037</v>
      </c>
      <c r="H1329" t="s">
        <v>2038</v>
      </c>
    </row>
    <row r="1330" spans="4:8" x14ac:dyDescent="0.25">
      <c r="D1330" t="s">
        <v>516</v>
      </c>
      <c r="E1330" t="s">
        <v>2006</v>
      </c>
      <c r="F1330" t="s">
        <v>3258</v>
      </c>
      <c r="G1330" t="s">
        <v>2037</v>
      </c>
      <c r="H1330" t="s">
        <v>2038</v>
      </c>
    </row>
    <row r="1331" spans="4:8" x14ac:dyDescent="0.25">
      <c r="D1331" t="s">
        <v>532</v>
      </c>
      <c r="E1331" t="s">
        <v>2006</v>
      </c>
      <c r="F1331" t="s">
        <v>3259</v>
      </c>
      <c r="G1331" t="s">
        <v>2037</v>
      </c>
      <c r="H1331" t="s">
        <v>2038</v>
      </c>
    </row>
    <row r="1332" spans="4:8" x14ac:dyDescent="0.25">
      <c r="D1332" t="s">
        <v>533</v>
      </c>
      <c r="E1332" t="s">
        <v>2006</v>
      </c>
      <c r="F1332" t="s">
        <v>3260</v>
      </c>
      <c r="G1332" t="s">
        <v>2037</v>
      </c>
      <c r="H1332" t="s">
        <v>2038</v>
      </c>
    </row>
    <row r="1333" spans="4:8" x14ac:dyDescent="0.25">
      <c r="D1333" t="s">
        <v>549</v>
      </c>
      <c r="E1333" t="s">
        <v>2006</v>
      </c>
      <c r="F1333" t="s">
        <v>3261</v>
      </c>
      <c r="G1333" t="s">
        <v>2037</v>
      </c>
      <c r="H1333" t="s">
        <v>2038</v>
      </c>
    </row>
    <row r="1334" spans="4:8" x14ac:dyDescent="0.25">
      <c r="D1334" t="s">
        <v>550</v>
      </c>
      <c r="E1334" t="s">
        <v>2006</v>
      </c>
      <c r="F1334" t="s">
        <v>3262</v>
      </c>
      <c r="G1334" t="s">
        <v>2037</v>
      </c>
      <c r="H1334" t="s">
        <v>2038</v>
      </c>
    </row>
    <row r="1335" spans="4:8" x14ac:dyDescent="0.25">
      <c r="D1335" t="s">
        <v>566</v>
      </c>
      <c r="E1335" t="s">
        <v>2006</v>
      </c>
      <c r="F1335" t="s">
        <v>3263</v>
      </c>
      <c r="G1335" t="s">
        <v>2037</v>
      </c>
      <c r="H1335" t="s">
        <v>2038</v>
      </c>
    </row>
    <row r="1336" spans="4:8" x14ac:dyDescent="0.25">
      <c r="D1336" t="s">
        <v>567</v>
      </c>
      <c r="E1336" t="s">
        <v>2006</v>
      </c>
      <c r="F1336" t="s">
        <v>3264</v>
      </c>
      <c r="G1336" t="s">
        <v>2037</v>
      </c>
      <c r="H1336" t="s">
        <v>2038</v>
      </c>
    </row>
    <row r="1337" spans="4:8" x14ac:dyDescent="0.25">
      <c r="D1337" t="s">
        <v>583</v>
      </c>
      <c r="E1337" t="s">
        <v>2006</v>
      </c>
      <c r="F1337" t="s">
        <v>3265</v>
      </c>
      <c r="G1337" t="s">
        <v>2037</v>
      </c>
      <c r="H1337" t="s">
        <v>2038</v>
      </c>
    </row>
    <row r="1338" spans="4:8" x14ac:dyDescent="0.25">
      <c r="D1338" t="s">
        <v>584</v>
      </c>
      <c r="E1338" t="s">
        <v>2006</v>
      </c>
      <c r="F1338" t="s">
        <v>3266</v>
      </c>
      <c r="G1338" t="s">
        <v>2037</v>
      </c>
      <c r="H1338" t="s">
        <v>2038</v>
      </c>
    </row>
    <row r="1339" spans="4:8" x14ac:dyDescent="0.25">
      <c r="D1339" t="s">
        <v>600</v>
      </c>
      <c r="E1339" t="s">
        <v>2006</v>
      </c>
      <c r="F1339" t="s">
        <v>3267</v>
      </c>
      <c r="G1339" t="s">
        <v>2037</v>
      </c>
      <c r="H1339" t="s">
        <v>2038</v>
      </c>
    </row>
    <row r="1340" spans="4:8" x14ac:dyDescent="0.25">
      <c r="D1340" t="s">
        <v>601</v>
      </c>
      <c r="E1340" t="s">
        <v>2006</v>
      </c>
      <c r="F1340" t="s">
        <v>3268</v>
      </c>
      <c r="G1340" t="s">
        <v>2037</v>
      </c>
      <c r="H1340" t="s">
        <v>2038</v>
      </c>
    </row>
    <row r="1341" spans="4:8" x14ac:dyDescent="0.25">
      <c r="D1341" t="s">
        <v>617</v>
      </c>
      <c r="E1341" t="s">
        <v>2006</v>
      </c>
      <c r="F1341" t="s">
        <v>3269</v>
      </c>
      <c r="G1341" t="s">
        <v>2037</v>
      </c>
      <c r="H1341" t="s">
        <v>2038</v>
      </c>
    </row>
    <row r="1342" spans="4:8" x14ac:dyDescent="0.25">
      <c r="D1342" t="s">
        <v>618</v>
      </c>
      <c r="E1342" t="s">
        <v>2006</v>
      </c>
      <c r="F1342" t="s">
        <v>3270</v>
      </c>
      <c r="G1342" t="s">
        <v>2037</v>
      </c>
      <c r="H1342" t="s">
        <v>2038</v>
      </c>
    </row>
    <row r="1343" spans="4:8" x14ac:dyDescent="0.25">
      <c r="D1343" t="s">
        <v>2007</v>
      </c>
      <c r="E1343" t="s">
        <v>2006</v>
      </c>
      <c r="F1343" t="s">
        <v>3271</v>
      </c>
      <c r="G1343" t="s">
        <v>2037</v>
      </c>
      <c r="H1343" t="s">
        <v>2038</v>
      </c>
    </row>
    <row r="1344" spans="4:8" x14ac:dyDescent="0.25">
      <c r="D1344" t="s">
        <v>2008</v>
      </c>
      <c r="E1344" t="s">
        <v>2006</v>
      </c>
      <c r="F1344" t="s">
        <v>3272</v>
      </c>
      <c r="G1344" t="s">
        <v>2037</v>
      </c>
      <c r="H1344" t="s">
        <v>2038</v>
      </c>
    </row>
    <row r="1345" spans="4:8" x14ac:dyDescent="0.25">
      <c r="D1345" t="s">
        <v>2009</v>
      </c>
      <c r="E1345" t="s">
        <v>2006</v>
      </c>
      <c r="F1345" t="s">
        <v>3273</v>
      </c>
      <c r="G1345" t="s">
        <v>2037</v>
      </c>
      <c r="H1345" t="s">
        <v>2038</v>
      </c>
    </row>
    <row r="1346" spans="4:8" x14ac:dyDescent="0.25">
      <c r="D1346" t="s">
        <v>2010</v>
      </c>
      <c r="E1346" t="s">
        <v>2006</v>
      </c>
      <c r="F1346" t="s">
        <v>3274</v>
      </c>
      <c r="G1346" t="s">
        <v>2037</v>
      </c>
      <c r="H1346" t="s">
        <v>2038</v>
      </c>
    </row>
    <row r="1347" spans="4:8" x14ac:dyDescent="0.25">
      <c r="D1347" t="s">
        <v>2011</v>
      </c>
      <c r="E1347" t="s">
        <v>2006</v>
      </c>
      <c r="F1347" t="s">
        <v>3275</v>
      </c>
      <c r="G1347" t="s">
        <v>2037</v>
      </c>
      <c r="H1347" t="s">
        <v>2038</v>
      </c>
    </row>
    <row r="1348" spans="4:8" x14ac:dyDescent="0.25">
      <c r="D1348" t="s">
        <v>2012</v>
      </c>
      <c r="E1348" t="s">
        <v>2006</v>
      </c>
      <c r="F1348" t="s">
        <v>3276</v>
      </c>
      <c r="G1348" t="s">
        <v>2037</v>
      </c>
      <c r="H1348" t="s">
        <v>2038</v>
      </c>
    </row>
    <row r="1349" spans="4:8" x14ac:dyDescent="0.25">
      <c r="D1349" t="s">
        <v>2013</v>
      </c>
      <c r="E1349" t="s">
        <v>2006</v>
      </c>
      <c r="F1349" t="s">
        <v>3277</v>
      </c>
      <c r="G1349" t="s">
        <v>2037</v>
      </c>
      <c r="H1349" t="s">
        <v>2038</v>
      </c>
    </row>
    <row r="1350" spans="4:8" x14ac:dyDescent="0.25">
      <c r="D1350" t="s">
        <v>2014</v>
      </c>
      <c r="E1350" t="s">
        <v>2006</v>
      </c>
      <c r="F1350" t="s">
        <v>3278</v>
      </c>
      <c r="G1350" t="s">
        <v>2037</v>
      </c>
      <c r="H1350" t="s">
        <v>2038</v>
      </c>
    </row>
    <row r="1351" spans="4:8" x14ac:dyDescent="0.25">
      <c r="D1351" t="s">
        <v>2015</v>
      </c>
      <c r="E1351" t="s">
        <v>2006</v>
      </c>
      <c r="F1351" t="s">
        <v>3279</v>
      </c>
      <c r="G1351" t="s">
        <v>2037</v>
      </c>
      <c r="H1351" t="s">
        <v>2038</v>
      </c>
    </row>
    <row r="1352" spans="4:8" x14ac:dyDescent="0.25">
      <c r="D1352" t="s">
        <v>2016</v>
      </c>
      <c r="E1352" t="s">
        <v>2006</v>
      </c>
      <c r="F1352" t="s">
        <v>3280</v>
      </c>
      <c r="G1352" t="s">
        <v>2037</v>
      </c>
      <c r="H1352" t="s">
        <v>2038</v>
      </c>
    </row>
    <row r="1353" spans="4:8" x14ac:dyDescent="0.25">
      <c r="D1353" t="s">
        <v>2017</v>
      </c>
      <c r="E1353" t="s">
        <v>2006</v>
      </c>
      <c r="F1353" t="s">
        <v>3281</v>
      </c>
      <c r="G1353" t="s">
        <v>2037</v>
      </c>
      <c r="H1353" t="s">
        <v>2038</v>
      </c>
    </row>
    <row r="1354" spans="4:8" x14ac:dyDescent="0.25">
      <c r="D1354" t="s">
        <v>2018</v>
      </c>
      <c r="E1354" t="s">
        <v>2006</v>
      </c>
      <c r="F1354" t="s">
        <v>3282</v>
      </c>
      <c r="G1354" t="s">
        <v>2037</v>
      </c>
      <c r="H1354" t="s">
        <v>2038</v>
      </c>
    </row>
    <row r="1355" spans="4:8" x14ac:dyDescent="0.25">
      <c r="D1355" t="s">
        <v>2019</v>
      </c>
      <c r="E1355" t="s">
        <v>2006</v>
      </c>
      <c r="F1355" t="s">
        <v>3283</v>
      </c>
      <c r="G1355" t="s">
        <v>2037</v>
      </c>
      <c r="H1355" t="s">
        <v>2038</v>
      </c>
    </row>
    <row r="1356" spans="4:8" x14ac:dyDescent="0.25">
      <c r="D1356" t="s">
        <v>2020</v>
      </c>
      <c r="E1356" t="s">
        <v>2006</v>
      </c>
      <c r="F1356" t="s">
        <v>3284</v>
      </c>
      <c r="G1356" t="s">
        <v>2037</v>
      </c>
      <c r="H1356" t="s">
        <v>2038</v>
      </c>
    </row>
    <row r="1357" spans="4:8" x14ac:dyDescent="0.25">
      <c r="D1357" t="s">
        <v>2021</v>
      </c>
      <c r="E1357" t="s">
        <v>2006</v>
      </c>
      <c r="F1357" t="s">
        <v>3285</v>
      </c>
      <c r="G1357" t="s">
        <v>2037</v>
      </c>
      <c r="H1357" t="s">
        <v>2038</v>
      </c>
    </row>
    <row r="1358" spans="4:8" x14ac:dyDescent="0.25">
      <c r="D1358" t="s">
        <v>2022</v>
      </c>
      <c r="E1358" t="s">
        <v>2006</v>
      </c>
      <c r="F1358" t="s">
        <v>3286</v>
      </c>
      <c r="G1358" t="s">
        <v>2037</v>
      </c>
      <c r="H1358" t="s">
        <v>2038</v>
      </c>
    </row>
    <row r="1359" spans="4:8" x14ac:dyDescent="0.25">
      <c r="D1359" t="s">
        <v>2023</v>
      </c>
      <c r="E1359" t="s">
        <v>2006</v>
      </c>
      <c r="F1359" t="s">
        <v>3287</v>
      </c>
      <c r="G1359" t="s">
        <v>2037</v>
      </c>
      <c r="H1359" t="s">
        <v>2038</v>
      </c>
    </row>
    <row r="1360" spans="4:8" x14ac:dyDescent="0.25">
      <c r="D1360" t="s">
        <v>2024</v>
      </c>
      <c r="E1360" t="s">
        <v>2006</v>
      </c>
      <c r="F1360" t="s">
        <v>3288</v>
      </c>
      <c r="G1360" t="s">
        <v>2037</v>
      </c>
      <c r="H1360" t="s">
        <v>2038</v>
      </c>
    </row>
    <row r="1361" spans="4:8" x14ac:dyDescent="0.25">
      <c r="D1361" t="s">
        <v>2025</v>
      </c>
      <c r="E1361" t="s">
        <v>2006</v>
      </c>
      <c r="F1361" t="s">
        <v>3289</v>
      </c>
      <c r="G1361" t="s">
        <v>2037</v>
      </c>
      <c r="H1361" t="s">
        <v>2038</v>
      </c>
    </row>
    <row r="1362" spans="4:8" x14ac:dyDescent="0.25">
      <c r="D1362" t="s">
        <v>2026</v>
      </c>
      <c r="E1362" t="s">
        <v>2006</v>
      </c>
      <c r="F1362" t="s">
        <v>3290</v>
      </c>
      <c r="G1362" t="s">
        <v>2037</v>
      </c>
      <c r="H1362" t="s">
        <v>2038</v>
      </c>
    </row>
    <row r="1363" spans="4:8" x14ac:dyDescent="0.25">
      <c r="D1363" t="s">
        <v>2027</v>
      </c>
      <c r="E1363" t="s">
        <v>2006</v>
      </c>
      <c r="F1363" t="s">
        <v>3291</v>
      </c>
      <c r="G1363" t="s">
        <v>2037</v>
      </c>
      <c r="H1363" t="s">
        <v>2038</v>
      </c>
    </row>
    <row r="1364" spans="4:8" x14ac:dyDescent="0.25">
      <c r="D1364" t="s">
        <v>2028</v>
      </c>
      <c r="E1364" t="s">
        <v>2029</v>
      </c>
      <c r="F1364" t="s">
        <v>2298</v>
      </c>
    </row>
    <row r="1365" spans="4:8" x14ac:dyDescent="0.25">
      <c r="D1365" t="s">
        <v>2030</v>
      </c>
      <c r="E1365" t="s">
        <v>2029</v>
      </c>
      <c r="F1365" t="s">
        <v>2298</v>
      </c>
    </row>
    <row r="1366" spans="4:8" x14ac:dyDescent="0.25">
      <c r="D1366" t="s">
        <v>2031</v>
      </c>
      <c r="E1366" t="s">
        <v>2029</v>
      </c>
      <c r="F1366" t="s">
        <v>2298</v>
      </c>
    </row>
    <row r="1367" spans="4:8" x14ac:dyDescent="0.25">
      <c r="D1367" t="s">
        <v>2032</v>
      </c>
      <c r="E1367" t="s">
        <v>2029</v>
      </c>
      <c r="F1367" t="s">
        <v>2298</v>
      </c>
    </row>
    <row r="1368" spans="4:8" x14ac:dyDescent="0.25">
      <c r="D1368" t="s">
        <v>1406</v>
      </c>
      <c r="E1368" t="s">
        <v>2033</v>
      </c>
      <c r="F1368" t="s">
        <v>2298</v>
      </c>
    </row>
    <row r="1369" spans="4:8" x14ac:dyDescent="0.25">
      <c r="D1369" t="s">
        <v>1465</v>
      </c>
      <c r="E1369" t="s">
        <v>2033</v>
      </c>
      <c r="F1369" t="s">
        <v>2298</v>
      </c>
    </row>
    <row r="1370" spans="4:8" x14ac:dyDescent="0.25">
      <c r="D1370" t="s">
        <v>1510</v>
      </c>
      <c r="E1370" t="s">
        <v>2033</v>
      </c>
      <c r="F1370" t="s">
        <v>2298</v>
      </c>
    </row>
    <row r="1371" spans="4:8" x14ac:dyDescent="0.25">
      <c r="D1371" t="s">
        <v>1556</v>
      </c>
      <c r="E1371" t="s">
        <v>2033</v>
      </c>
      <c r="F1371" t="s">
        <v>2298</v>
      </c>
    </row>
    <row r="1372" spans="4:8" x14ac:dyDescent="0.25">
      <c r="D1372" t="s">
        <v>1602</v>
      </c>
      <c r="E1372" t="s">
        <v>2033</v>
      </c>
      <c r="F1372" t="s">
        <v>2298</v>
      </c>
    </row>
    <row r="1373" spans="4:8" x14ac:dyDescent="0.25">
      <c r="D1373" t="s">
        <v>1095</v>
      </c>
      <c r="E1373" t="s">
        <v>2033</v>
      </c>
      <c r="F1373" t="s">
        <v>2298</v>
      </c>
    </row>
    <row r="1374" spans="4:8" x14ac:dyDescent="0.25">
      <c r="D1374" t="s">
        <v>1138</v>
      </c>
      <c r="E1374" t="s">
        <v>2033</v>
      </c>
      <c r="F1374" t="s">
        <v>2298</v>
      </c>
    </row>
    <row r="1375" spans="4:8" x14ac:dyDescent="0.25">
      <c r="D1375" t="s">
        <v>1163</v>
      </c>
      <c r="E1375" t="s">
        <v>2033</v>
      </c>
      <c r="F1375" t="s">
        <v>2298</v>
      </c>
    </row>
    <row r="1376" spans="4:8" x14ac:dyDescent="0.25">
      <c r="D1376" t="s">
        <v>1188</v>
      </c>
      <c r="E1376" t="s">
        <v>2033</v>
      </c>
      <c r="F1376" t="s">
        <v>2298</v>
      </c>
    </row>
    <row r="1377" spans="4:6" x14ac:dyDescent="0.25">
      <c r="D1377" t="s">
        <v>1216</v>
      </c>
      <c r="E1377" t="s">
        <v>2033</v>
      </c>
      <c r="F1377" t="s">
        <v>2298</v>
      </c>
    </row>
    <row r="1378" spans="4:6" x14ac:dyDescent="0.25">
      <c r="D1378" t="s">
        <v>1306</v>
      </c>
      <c r="E1378" t="s">
        <v>2033</v>
      </c>
      <c r="F1378" t="s">
        <v>2298</v>
      </c>
    </row>
    <row r="1379" spans="4:6" x14ac:dyDescent="0.25">
      <c r="D1379" t="s">
        <v>1331</v>
      </c>
      <c r="E1379" t="s">
        <v>2033</v>
      </c>
      <c r="F1379" t="s">
        <v>2298</v>
      </c>
    </row>
    <row r="1380" spans="4:6" x14ac:dyDescent="0.25">
      <c r="D1380" t="s">
        <v>1356</v>
      </c>
      <c r="E1380" t="s">
        <v>2033</v>
      </c>
      <c r="F1380" t="s">
        <v>2298</v>
      </c>
    </row>
    <row r="1381" spans="4:6" x14ac:dyDescent="0.25">
      <c r="D1381" t="s">
        <v>1381</v>
      </c>
      <c r="E1381" t="s">
        <v>2033</v>
      </c>
      <c r="F1381" t="s">
        <v>2298</v>
      </c>
    </row>
    <row r="1382" spans="4:6" x14ac:dyDescent="0.25">
      <c r="D1382" t="s">
        <v>1741</v>
      </c>
      <c r="E1382" t="s">
        <v>2033</v>
      </c>
      <c r="F1382" t="s">
        <v>2298</v>
      </c>
    </row>
    <row r="1383" spans="4:6" x14ac:dyDescent="0.25">
      <c r="D1383" t="s">
        <v>1765</v>
      </c>
      <c r="E1383" t="s">
        <v>2033</v>
      </c>
      <c r="F1383" t="s">
        <v>2298</v>
      </c>
    </row>
    <row r="1384" spans="4:6" x14ac:dyDescent="0.25">
      <c r="D1384" t="s">
        <v>1789</v>
      </c>
      <c r="E1384" t="s">
        <v>2033</v>
      </c>
      <c r="F1384" t="s">
        <v>2298</v>
      </c>
    </row>
    <row r="1385" spans="4:6" x14ac:dyDescent="0.25">
      <c r="D1385" t="s">
        <v>1813</v>
      </c>
      <c r="E1385" t="s">
        <v>2033</v>
      </c>
      <c r="F1385" t="s">
        <v>2298</v>
      </c>
    </row>
    <row r="1386" spans="4:6" x14ac:dyDescent="0.25">
      <c r="D1386" t="s">
        <v>1837</v>
      </c>
      <c r="E1386" t="s">
        <v>2033</v>
      </c>
      <c r="F1386" t="s">
        <v>2298</v>
      </c>
    </row>
    <row r="1387" spans="4:6" x14ac:dyDescent="0.25">
      <c r="D1387" t="s">
        <v>1861</v>
      </c>
      <c r="E1387" t="s">
        <v>2033</v>
      </c>
      <c r="F1387" t="s">
        <v>2298</v>
      </c>
    </row>
    <row r="1388" spans="4:6" x14ac:dyDescent="0.25">
      <c r="D1388" t="s">
        <v>1885</v>
      </c>
      <c r="E1388" t="s">
        <v>2033</v>
      </c>
      <c r="F1388" t="s">
        <v>2298</v>
      </c>
    </row>
    <row r="1389" spans="4:6" x14ac:dyDescent="0.25">
      <c r="D1389" t="s">
        <v>1909</v>
      </c>
      <c r="E1389" t="s">
        <v>2033</v>
      </c>
      <c r="F1389" t="s">
        <v>2298</v>
      </c>
    </row>
    <row r="1390" spans="4:6" x14ac:dyDescent="0.25">
      <c r="D1390" t="s">
        <v>1933</v>
      </c>
      <c r="E1390" t="s">
        <v>2033</v>
      </c>
      <c r="F1390" t="s">
        <v>2298</v>
      </c>
    </row>
    <row r="1391" spans="4:6" x14ac:dyDescent="0.25">
      <c r="D1391" t="s">
        <v>1957</v>
      </c>
      <c r="E1391" t="s">
        <v>2033</v>
      </c>
      <c r="F1391" t="s">
        <v>2298</v>
      </c>
    </row>
    <row r="1392" spans="4:6" x14ac:dyDescent="0.25">
      <c r="D1392" t="s">
        <v>1981</v>
      </c>
      <c r="E1392" t="s">
        <v>2033</v>
      </c>
      <c r="F1392" t="s">
        <v>2298</v>
      </c>
    </row>
    <row r="1393" spans="4:6" x14ac:dyDescent="0.25">
      <c r="D1393" t="s">
        <v>2005</v>
      </c>
      <c r="E1393" t="s">
        <v>2033</v>
      </c>
      <c r="F1393" t="s">
        <v>2298</v>
      </c>
    </row>
    <row r="1394" spans="4:6" x14ac:dyDescent="0.25">
      <c r="D1394" t="s">
        <v>2034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FF5A-7A59-4C75-9558-3A15F9AA3DCB}">
  <dimension ref="A1:M62"/>
  <sheetViews>
    <sheetView topLeftCell="A4" workbookViewId="0">
      <selection activeCell="A22" sqref="A22:A25"/>
    </sheetView>
  </sheetViews>
  <sheetFormatPr defaultRowHeight="15" x14ac:dyDescent="0.25"/>
  <cols>
    <col min="2" max="2" width="27" bestFit="1" customWidth="1"/>
    <col min="3" max="3" width="14.28515625" bestFit="1" customWidth="1"/>
    <col min="4" max="4" width="13.140625" bestFit="1" customWidth="1"/>
    <col min="5" max="5" width="12" bestFit="1" customWidth="1"/>
    <col min="11" max="11" width="9.85546875" bestFit="1" customWidth="1"/>
  </cols>
  <sheetData>
    <row r="1" spans="1:13" x14ac:dyDescent="0.25">
      <c r="A1" t="s">
        <v>3319</v>
      </c>
      <c r="B1" t="s">
        <v>3318</v>
      </c>
      <c r="C1" t="s">
        <v>2035</v>
      </c>
      <c r="D1" t="s">
        <v>2036</v>
      </c>
      <c r="E1" t="s">
        <v>692</v>
      </c>
    </row>
    <row r="2" spans="1:13" x14ac:dyDescent="0.25">
      <c r="A2" s="3" t="s">
        <v>128</v>
      </c>
      <c r="B2" t="s">
        <v>2006</v>
      </c>
      <c r="C2" t="s">
        <v>3239</v>
      </c>
      <c r="D2" t="s">
        <v>2037</v>
      </c>
      <c r="E2" t="s">
        <v>2038</v>
      </c>
      <c r="G2" t="s">
        <v>3320</v>
      </c>
      <c r="H2" t="s">
        <v>3328</v>
      </c>
      <c r="J2">
        <v>1</v>
      </c>
      <c r="K2" t="str">
        <f>_xlfn.TEXTJOIN("-",TRUE,G2:J2)</f>
        <v>UPS-1A-1</v>
      </c>
      <c r="M2" t="s">
        <v>128</v>
      </c>
    </row>
    <row r="3" spans="1:13" x14ac:dyDescent="0.25">
      <c r="A3" s="3" t="s">
        <v>129</v>
      </c>
      <c r="B3" t="s">
        <v>2006</v>
      </c>
      <c r="C3" t="s">
        <v>3240</v>
      </c>
      <c r="D3" t="s">
        <v>2037</v>
      </c>
      <c r="E3" t="s">
        <v>2038</v>
      </c>
      <c r="G3" t="s">
        <v>3320</v>
      </c>
      <c r="H3" t="s">
        <v>3328</v>
      </c>
      <c r="J3">
        <v>2</v>
      </c>
      <c r="K3" t="str">
        <f t="shared" ref="K3:K9" si="0">_xlfn.TEXTJOIN("-",TRUE,G3:J3)</f>
        <v>UPS-1A-2</v>
      </c>
      <c r="M3" t="s">
        <v>129</v>
      </c>
    </row>
    <row r="4" spans="1:13" x14ac:dyDescent="0.25">
      <c r="A4" s="3" t="s">
        <v>145</v>
      </c>
      <c r="B4" t="s">
        <v>2006</v>
      </c>
      <c r="C4" t="s">
        <v>3241</v>
      </c>
      <c r="D4" t="s">
        <v>2037</v>
      </c>
      <c r="E4" t="s">
        <v>2038</v>
      </c>
      <c r="G4" t="s">
        <v>3320</v>
      </c>
      <c r="H4" t="s">
        <v>3329</v>
      </c>
      <c r="J4">
        <v>1</v>
      </c>
      <c r="K4" t="str">
        <f t="shared" si="0"/>
        <v>UPS-1B-1</v>
      </c>
      <c r="M4" t="s">
        <v>145</v>
      </c>
    </row>
    <row r="5" spans="1:13" x14ac:dyDescent="0.25">
      <c r="A5" s="3" t="s">
        <v>146</v>
      </c>
      <c r="B5" t="s">
        <v>2006</v>
      </c>
      <c r="C5" t="s">
        <v>3242</v>
      </c>
      <c r="D5" t="s">
        <v>2037</v>
      </c>
      <c r="E5" t="s">
        <v>2038</v>
      </c>
      <c r="G5" t="s">
        <v>3320</v>
      </c>
      <c r="H5" t="s">
        <v>3329</v>
      </c>
      <c r="J5">
        <v>2</v>
      </c>
      <c r="K5" t="str">
        <f t="shared" si="0"/>
        <v>UPS-1B-2</v>
      </c>
      <c r="M5" t="s">
        <v>146</v>
      </c>
    </row>
    <row r="6" spans="1:13" x14ac:dyDescent="0.25">
      <c r="A6" s="3" t="s">
        <v>162</v>
      </c>
      <c r="B6" t="s">
        <v>2006</v>
      </c>
      <c r="C6" t="s">
        <v>3243</v>
      </c>
      <c r="D6" t="s">
        <v>2037</v>
      </c>
      <c r="E6" t="s">
        <v>2038</v>
      </c>
      <c r="G6" t="s">
        <v>3320</v>
      </c>
      <c r="H6" t="s">
        <v>3330</v>
      </c>
      <c r="J6">
        <v>1</v>
      </c>
      <c r="K6" t="str">
        <f t="shared" si="0"/>
        <v>UPS-1C-1</v>
      </c>
      <c r="M6" t="s">
        <v>162</v>
      </c>
    </row>
    <row r="7" spans="1:13" x14ac:dyDescent="0.25">
      <c r="A7" s="3" t="s">
        <v>163</v>
      </c>
      <c r="B7" t="s">
        <v>2006</v>
      </c>
      <c r="C7" t="s">
        <v>3244</v>
      </c>
      <c r="D7" t="s">
        <v>2037</v>
      </c>
      <c r="E7" t="s">
        <v>2038</v>
      </c>
      <c r="G7" t="s">
        <v>3320</v>
      </c>
      <c r="H7" t="s">
        <v>3330</v>
      </c>
      <c r="J7">
        <v>2</v>
      </c>
      <c r="K7" t="str">
        <f t="shared" si="0"/>
        <v>UPS-1C-2</v>
      </c>
      <c r="M7" t="s">
        <v>163</v>
      </c>
    </row>
    <row r="8" spans="1:13" x14ac:dyDescent="0.25">
      <c r="A8" s="3" t="s">
        <v>179</v>
      </c>
      <c r="B8" t="s">
        <v>2006</v>
      </c>
      <c r="C8" t="s">
        <v>3245</v>
      </c>
      <c r="D8" t="s">
        <v>2037</v>
      </c>
      <c r="E8" t="s">
        <v>2038</v>
      </c>
      <c r="G8" t="s">
        <v>3320</v>
      </c>
      <c r="H8" t="s">
        <v>3331</v>
      </c>
      <c r="J8">
        <v>1</v>
      </c>
      <c r="K8" t="str">
        <f t="shared" si="0"/>
        <v>UPS-1D-1</v>
      </c>
      <c r="M8" t="s">
        <v>179</v>
      </c>
    </row>
    <row r="9" spans="1:13" x14ac:dyDescent="0.25">
      <c r="A9" s="3" t="s">
        <v>180</v>
      </c>
      <c r="B9" t="s">
        <v>2006</v>
      </c>
      <c r="C9" t="s">
        <v>3246</v>
      </c>
      <c r="D9" t="s">
        <v>2037</v>
      </c>
      <c r="E9" t="s">
        <v>2038</v>
      </c>
      <c r="G9" t="s">
        <v>3320</v>
      </c>
      <c r="H9" t="s">
        <v>3331</v>
      </c>
      <c r="J9">
        <v>2</v>
      </c>
      <c r="K9" t="str">
        <f t="shared" si="0"/>
        <v>UPS-1D-2</v>
      </c>
      <c r="M9" t="s">
        <v>180</v>
      </c>
    </row>
    <row r="10" spans="1:13" x14ac:dyDescent="0.25">
      <c r="A10" s="3" t="s">
        <v>209</v>
      </c>
      <c r="B10" t="s">
        <v>2006</v>
      </c>
      <c r="C10" t="s">
        <v>3247</v>
      </c>
      <c r="D10" t="s">
        <v>2037</v>
      </c>
      <c r="E10" t="s">
        <v>2038</v>
      </c>
      <c r="G10" t="s">
        <v>3320</v>
      </c>
      <c r="H10" t="s">
        <v>3332</v>
      </c>
      <c r="J10">
        <v>1</v>
      </c>
      <c r="K10" t="str">
        <f>_xlfn.TEXTJOIN("-",TRUE,G10:J10)</f>
        <v>UPS-2A-1</v>
      </c>
      <c r="M10" t="s">
        <v>209</v>
      </c>
    </row>
    <row r="11" spans="1:13" x14ac:dyDescent="0.25">
      <c r="A11" s="3" t="s">
        <v>210</v>
      </c>
      <c r="B11" t="s">
        <v>2006</v>
      </c>
      <c r="C11" t="s">
        <v>3248</v>
      </c>
      <c r="D11" t="s">
        <v>2037</v>
      </c>
      <c r="E11" t="s">
        <v>2038</v>
      </c>
      <c r="G11" t="s">
        <v>3320</v>
      </c>
      <c r="H11" t="s">
        <v>3332</v>
      </c>
      <c r="J11">
        <v>2</v>
      </c>
      <c r="K11" t="str">
        <f t="shared" ref="K11:K17" si="1">_xlfn.TEXTJOIN("-",TRUE,G11:J11)</f>
        <v>UPS-2A-2</v>
      </c>
      <c r="M11" t="s">
        <v>210</v>
      </c>
    </row>
    <row r="12" spans="1:13" x14ac:dyDescent="0.25">
      <c r="A12" s="3" t="s">
        <v>226</v>
      </c>
      <c r="B12" t="s">
        <v>2006</v>
      </c>
      <c r="C12" t="s">
        <v>3249</v>
      </c>
      <c r="D12" t="s">
        <v>2037</v>
      </c>
      <c r="E12" t="s">
        <v>2038</v>
      </c>
      <c r="G12" t="s">
        <v>3320</v>
      </c>
      <c r="H12" t="s">
        <v>3333</v>
      </c>
      <c r="J12">
        <v>1</v>
      </c>
      <c r="K12" t="str">
        <f t="shared" si="1"/>
        <v>UPS-2B-1</v>
      </c>
      <c r="M12" t="s">
        <v>226</v>
      </c>
    </row>
    <row r="13" spans="1:13" x14ac:dyDescent="0.25">
      <c r="A13" s="3" t="s">
        <v>227</v>
      </c>
      <c r="B13" t="s">
        <v>2006</v>
      </c>
      <c r="C13" t="s">
        <v>3250</v>
      </c>
      <c r="D13" t="s">
        <v>2037</v>
      </c>
      <c r="E13" t="s">
        <v>2038</v>
      </c>
      <c r="G13" t="s">
        <v>3320</v>
      </c>
      <c r="H13" t="s">
        <v>3333</v>
      </c>
      <c r="J13">
        <v>2</v>
      </c>
      <c r="K13" t="str">
        <f t="shared" si="1"/>
        <v>UPS-2B-2</v>
      </c>
      <c r="M13" t="s">
        <v>227</v>
      </c>
    </row>
    <row r="14" spans="1:13" x14ac:dyDescent="0.25">
      <c r="A14" s="2" t="s">
        <v>243</v>
      </c>
      <c r="B14" s="2"/>
      <c r="C14" s="2"/>
      <c r="D14" s="2"/>
      <c r="E14" s="2"/>
      <c r="G14" t="s">
        <v>3320</v>
      </c>
      <c r="H14" t="s">
        <v>3334</v>
      </c>
      <c r="J14">
        <v>1</v>
      </c>
      <c r="K14" t="str">
        <f t="shared" si="1"/>
        <v>UPS-2C-1</v>
      </c>
      <c r="M14" t="s">
        <v>243</v>
      </c>
    </row>
    <row r="15" spans="1:13" x14ac:dyDescent="0.25">
      <c r="A15" s="2" t="s">
        <v>244</v>
      </c>
      <c r="B15" s="2"/>
      <c r="C15" s="2"/>
      <c r="D15" s="2"/>
      <c r="E15" s="2"/>
      <c r="G15" t="s">
        <v>3320</v>
      </c>
      <c r="H15" t="s">
        <v>3334</v>
      </c>
      <c r="J15">
        <v>2</v>
      </c>
      <c r="K15" t="str">
        <f t="shared" si="1"/>
        <v>UPS-2C-2</v>
      </c>
      <c r="M15" t="s">
        <v>244</v>
      </c>
    </row>
    <row r="16" spans="1:13" x14ac:dyDescent="0.25">
      <c r="A16" s="2" t="s">
        <v>260</v>
      </c>
      <c r="B16" s="2"/>
      <c r="C16" s="2"/>
      <c r="D16" s="2"/>
      <c r="E16" s="2"/>
      <c r="G16" t="s">
        <v>3320</v>
      </c>
      <c r="H16" t="s">
        <v>3335</v>
      </c>
      <c r="J16">
        <v>1</v>
      </c>
      <c r="K16" t="str">
        <f t="shared" si="1"/>
        <v>UPS-2D-1</v>
      </c>
      <c r="M16" t="s">
        <v>260</v>
      </c>
    </row>
    <row r="17" spans="1:13" x14ac:dyDescent="0.25">
      <c r="A17" s="2" t="s">
        <v>261</v>
      </c>
      <c r="B17" s="2"/>
      <c r="C17" s="2"/>
      <c r="D17" s="2"/>
      <c r="E17" s="2"/>
      <c r="G17" t="s">
        <v>3320</v>
      </c>
      <c r="H17" t="s">
        <v>3335</v>
      </c>
      <c r="J17">
        <v>2</v>
      </c>
      <c r="K17" t="str">
        <f t="shared" si="1"/>
        <v>UPS-2D-2</v>
      </c>
      <c r="M17" t="s">
        <v>261</v>
      </c>
    </row>
    <row r="18" spans="1:13" x14ac:dyDescent="0.25">
      <c r="A18" s="3" t="s">
        <v>430</v>
      </c>
      <c r="B18" t="s">
        <v>2006</v>
      </c>
      <c r="C18" t="s">
        <v>3251</v>
      </c>
      <c r="D18" t="s">
        <v>2037</v>
      </c>
      <c r="E18" t="s">
        <v>2038</v>
      </c>
      <c r="G18" t="s">
        <v>3320</v>
      </c>
      <c r="H18" t="s">
        <v>3336</v>
      </c>
      <c r="J18">
        <v>1</v>
      </c>
      <c r="K18" t="str">
        <f>_xlfn.TEXTJOIN("-",TRUE,G18:J18)</f>
        <v>UPS-3A-1</v>
      </c>
      <c r="M18" t="s">
        <v>430</v>
      </c>
    </row>
    <row r="19" spans="1:13" x14ac:dyDescent="0.25">
      <c r="A19" s="3" t="s">
        <v>431</v>
      </c>
      <c r="B19" t="s">
        <v>2006</v>
      </c>
      <c r="C19" t="s">
        <v>3252</v>
      </c>
      <c r="D19" t="s">
        <v>2037</v>
      </c>
      <c r="E19" t="s">
        <v>2038</v>
      </c>
      <c r="G19" t="s">
        <v>3320</v>
      </c>
      <c r="H19" t="s">
        <v>3336</v>
      </c>
      <c r="J19">
        <v>2</v>
      </c>
      <c r="K19" t="str">
        <f t="shared" ref="K19:K25" si="2">_xlfn.TEXTJOIN("-",TRUE,G19:J19)</f>
        <v>UPS-3A-2</v>
      </c>
      <c r="M19" t="s">
        <v>431</v>
      </c>
    </row>
    <row r="20" spans="1:13" x14ac:dyDescent="0.25">
      <c r="A20" s="3" t="s">
        <v>447</v>
      </c>
      <c r="B20" t="s">
        <v>2006</v>
      </c>
      <c r="C20" t="s">
        <v>3253</v>
      </c>
      <c r="D20" t="s">
        <v>2037</v>
      </c>
      <c r="E20" t="s">
        <v>2038</v>
      </c>
      <c r="G20" t="s">
        <v>3320</v>
      </c>
      <c r="H20" t="s">
        <v>3337</v>
      </c>
      <c r="J20">
        <v>1</v>
      </c>
      <c r="K20" t="str">
        <f t="shared" si="2"/>
        <v>UPS-3B-1</v>
      </c>
      <c r="M20" t="s">
        <v>447</v>
      </c>
    </row>
    <row r="21" spans="1:13" x14ac:dyDescent="0.25">
      <c r="A21" s="3" t="s">
        <v>448</v>
      </c>
      <c r="B21" t="s">
        <v>2006</v>
      </c>
      <c r="C21" t="s">
        <v>3254</v>
      </c>
      <c r="D21" t="s">
        <v>2037</v>
      </c>
      <c r="E21" t="s">
        <v>2038</v>
      </c>
      <c r="G21" t="s">
        <v>3320</v>
      </c>
      <c r="H21" t="s">
        <v>3337</v>
      </c>
      <c r="J21">
        <v>2</v>
      </c>
      <c r="K21" t="str">
        <f t="shared" si="2"/>
        <v>UPS-3B-2</v>
      </c>
      <c r="M21" t="s">
        <v>448</v>
      </c>
    </row>
    <row r="22" spans="1:13" x14ac:dyDescent="0.25">
      <c r="A22" s="2" t="s">
        <v>464</v>
      </c>
      <c r="B22" s="2"/>
      <c r="C22" s="2"/>
      <c r="D22" s="2"/>
      <c r="E22" s="2"/>
      <c r="G22" t="s">
        <v>3320</v>
      </c>
      <c r="H22" t="s">
        <v>3338</v>
      </c>
      <c r="J22">
        <v>1</v>
      </c>
      <c r="K22" t="str">
        <f t="shared" si="2"/>
        <v>UPS-3C-1</v>
      </c>
      <c r="M22" t="s">
        <v>464</v>
      </c>
    </row>
    <row r="23" spans="1:13" x14ac:dyDescent="0.25">
      <c r="A23" s="2" t="s">
        <v>465</v>
      </c>
      <c r="B23" s="2"/>
      <c r="C23" s="2"/>
      <c r="D23" s="2"/>
      <c r="E23" s="2"/>
      <c r="G23" t="s">
        <v>3320</v>
      </c>
      <c r="H23" t="s">
        <v>3338</v>
      </c>
      <c r="J23">
        <v>2</v>
      </c>
      <c r="K23" t="str">
        <f t="shared" si="2"/>
        <v>UPS-3C-2</v>
      </c>
      <c r="M23" t="s">
        <v>465</v>
      </c>
    </row>
    <row r="24" spans="1:13" x14ac:dyDescent="0.25">
      <c r="A24" s="2" t="s">
        <v>481</v>
      </c>
      <c r="B24" s="2"/>
      <c r="C24" s="2"/>
      <c r="D24" s="2"/>
      <c r="E24" s="2"/>
      <c r="G24" t="s">
        <v>3320</v>
      </c>
      <c r="H24" t="s">
        <v>3339</v>
      </c>
      <c r="J24">
        <v>1</v>
      </c>
      <c r="K24" t="str">
        <f t="shared" si="2"/>
        <v>UPS-3D-1</v>
      </c>
      <c r="M24" t="s">
        <v>481</v>
      </c>
    </row>
    <row r="25" spans="1:13" x14ac:dyDescent="0.25">
      <c r="A25" s="2" t="s">
        <v>482</v>
      </c>
      <c r="B25" s="2"/>
      <c r="C25" s="2"/>
      <c r="D25" s="2"/>
      <c r="E25" s="2"/>
      <c r="G25" t="s">
        <v>3320</v>
      </c>
      <c r="H25" t="s">
        <v>3339</v>
      </c>
      <c r="J25">
        <v>2</v>
      </c>
      <c r="K25" t="str">
        <f t="shared" si="2"/>
        <v>UPS-3D-2</v>
      </c>
      <c r="M25" t="s">
        <v>482</v>
      </c>
    </row>
    <row r="26" spans="1:13" x14ac:dyDescent="0.25">
      <c r="A26" s="3" t="s">
        <v>498</v>
      </c>
      <c r="B26" t="s">
        <v>2006</v>
      </c>
      <c r="C26" t="s">
        <v>3255</v>
      </c>
      <c r="D26" t="s">
        <v>2037</v>
      </c>
      <c r="E26" t="s">
        <v>2038</v>
      </c>
      <c r="G26" t="s">
        <v>3320</v>
      </c>
      <c r="H26" t="s">
        <v>3340</v>
      </c>
      <c r="J26">
        <v>1</v>
      </c>
      <c r="K26" t="str">
        <f>_xlfn.TEXTJOIN("-",TRUE,G26:J26)</f>
        <v>UPS-4A-1</v>
      </c>
      <c r="M26" t="s">
        <v>498</v>
      </c>
    </row>
    <row r="27" spans="1:13" x14ac:dyDescent="0.25">
      <c r="A27" s="3" t="s">
        <v>499</v>
      </c>
      <c r="B27" t="s">
        <v>2006</v>
      </c>
      <c r="C27" t="s">
        <v>3256</v>
      </c>
      <c r="D27" t="s">
        <v>2037</v>
      </c>
      <c r="E27" t="s">
        <v>2038</v>
      </c>
      <c r="G27" t="s">
        <v>3320</v>
      </c>
      <c r="H27" t="s">
        <v>3340</v>
      </c>
      <c r="J27">
        <v>2</v>
      </c>
      <c r="K27" t="str">
        <f t="shared" ref="K27:K33" si="3">_xlfn.TEXTJOIN("-",TRUE,G27:J27)</f>
        <v>UPS-4A-2</v>
      </c>
      <c r="M27" t="s">
        <v>499</v>
      </c>
    </row>
    <row r="28" spans="1:13" x14ac:dyDescent="0.25">
      <c r="A28" s="3" t="s">
        <v>515</v>
      </c>
      <c r="B28" t="s">
        <v>2006</v>
      </c>
      <c r="C28" t="s">
        <v>3257</v>
      </c>
      <c r="D28" t="s">
        <v>2037</v>
      </c>
      <c r="E28" t="s">
        <v>2038</v>
      </c>
      <c r="G28" t="s">
        <v>3320</v>
      </c>
      <c r="H28" t="s">
        <v>3341</v>
      </c>
      <c r="J28">
        <v>1</v>
      </c>
      <c r="K28" t="str">
        <f t="shared" si="3"/>
        <v>UPS-4B-1</v>
      </c>
      <c r="M28" t="s">
        <v>515</v>
      </c>
    </row>
    <row r="29" spans="1:13" x14ac:dyDescent="0.25">
      <c r="A29" s="3" t="s">
        <v>516</v>
      </c>
      <c r="B29" t="s">
        <v>2006</v>
      </c>
      <c r="C29" t="s">
        <v>3258</v>
      </c>
      <c r="D29" t="s">
        <v>2037</v>
      </c>
      <c r="E29" t="s">
        <v>2038</v>
      </c>
      <c r="G29" t="s">
        <v>3320</v>
      </c>
      <c r="H29" t="s">
        <v>3341</v>
      </c>
      <c r="J29">
        <v>2</v>
      </c>
      <c r="K29" t="str">
        <f t="shared" si="3"/>
        <v>UPS-4B-2</v>
      </c>
      <c r="M29" t="s">
        <v>516</v>
      </c>
    </row>
    <row r="30" spans="1:13" x14ac:dyDescent="0.25">
      <c r="A30" s="3" t="s">
        <v>532</v>
      </c>
      <c r="B30" t="s">
        <v>2006</v>
      </c>
      <c r="C30" t="s">
        <v>3259</v>
      </c>
      <c r="D30" t="s">
        <v>2037</v>
      </c>
      <c r="E30" t="s">
        <v>2038</v>
      </c>
      <c r="G30" t="s">
        <v>3320</v>
      </c>
      <c r="H30" t="s">
        <v>3342</v>
      </c>
      <c r="J30">
        <v>1</v>
      </c>
      <c r="K30" t="str">
        <f t="shared" si="3"/>
        <v>UPS-4C-1</v>
      </c>
      <c r="M30" t="s">
        <v>532</v>
      </c>
    </row>
    <row r="31" spans="1:13" x14ac:dyDescent="0.25">
      <c r="A31" s="3" t="s">
        <v>533</v>
      </c>
      <c r="B31" t="s">
        <v>2006</v>
      </c>
      <c r="C31" t="s">
        <v>3260</v>
      </c>
      <c r="D31" t="s">
        <v>2037</v>
      </c>
      <c r="E31" t="s">
        <v>2038</v>
      </c>
      <c r="G31" t="s">
        <v>3320</v>
      </c>
      <c r="H31" t="s">
        <v>3342</v>
      </c>
      <c r="J31">
        <v>2</v>
      </c>
      <c r="K31" t="str">
        <f t="shared" si="3"/>
        <v>UPS-4C-2</v>
      </c>
      <c r="M31" t="s">
        <v>533</v>
      </c>
    </row>
    <row r="32" spans="1:13" x14ac:dyDescent="0.25">
      <c r="A32" s="3" t="s">
        <v>549</v>
      </c>
      <c r="B32" t="s">
        <v>2006</v>
      </c>
      <c r="C32" t="s">
        <v>3261</v>
      </c>
      <c r="D32" t="s">
        <v>2037</v>
      </c>
      <c r="E32" t="s">
        <v>2038</v>
      </c>
      <c r="G32" t="s">
        <v>3320</v>
      </c>
      <c r="H32" t="s">
        <v>3343</v>
      </c>
      <c r="J32">
        <v>1</v>
      </c>
      <c r="K32" t="str">
        <f t="shared" si="3"/>
        <v>UPS-4D-1</v>
      </c>
      <c r="M32" t="s">
        <v>549</v>
      </c>
    </row>
    <row r="33" spans="1:13" x14ac:dyDescent="0.25">
      <c r="A33" s="3" t="s">
        <v>550</v>
      </c>
      <c r="B33" t="s">
        <v>2006</v>
      </c>
      <c r="C33" t="s">
        <v>3262</v>
      </c>
      <c r="D33" t="s">
        <v>2037</v>
      </c>
      <c r="E33" t="s">
        <v>2038</v>
      </c>
      <c r="G33" t="s">
        <v>3320</v>
      </c>
      <c r="H33" t="s">
        <v>3343</v>
      </c>
      <c r="J33">
        <v>2</v>
      </c>
      <c r="K33" t="str">
        <f t="shared" si="3"/>
        <v>UPS-4D-2</v>
      </c>
      <c r="M33" t="s">
        <v>550</v>
      </c>
    </row>
    <row r="34" spans="1:13" x14ac:dyDescent="0.25">
      <c r="A34" s="3" t="s">
        <v>566</v>
      </c>
      <c r="B34" t="s">
        <v>2006</v>
      </c>
      <c r="C34" t="s">
        <v>3263</v>
      </c>
      <c r="D34" t="s">
        <v>2037</v>
      </c>
      <c r="E34" t="s">
        <v>2038</v>
      </c>
      <c r="G34" t="s">
        <v>3320</v>
      </c>
      <c r="H34" t="s">
        <v>3344</v>
      </c>
      <c r="J34">
        <v>1</v>
      </c>
      <c r="K34" t="str">
        <f>_xlfn.TEXTJOIN("-",TRUE,G34:J34)</f>
        <v>UPS-5A-1</v>
      </c>
      <c r="M34" t="s">
        <v>566</v>
      </c>
    </row>
    <row r="35" spans="1:13" x14ac:dyDescent="0.25">
      <c r="A35" s="3" t="s">
        <v>567</v>
      </c>
      <c r="B35" t="s">
        <v>2006</v>
      </c>
      <c r="C35" t="s">
        <v>3264</v>
      </c>
      <c r="D35" t="s">
        <v>2037</v>
      </c>
      <c r="E35" t="s">
        <v>2038</v>
      </c>
      <c r="G35" t="s">
        <v>3320</v>
      </c>
      <c r="H35" t="s">
        <v>3344</v>
      </c>
      <c r="J35">
        <v>2</v>
      </c>
      <c r="K35" t="str">
        <f t="shared" ref="K35:K43" si="4">_xlfn.TEXTJOIN("-",TRUE,G35:J35)</f>
        <v>UPS-5A-2</v>
      </c>
      <c r="M35" t="s">
        <v>567</v>
      </c>
    </row>
    <row r="36" spans="1:13" x14ac:dyDescent="0.25">
      <c r="A36" s="3" t="s">
        <v>583</v>
      </c>
      <c r="B36" t="s">
        <v>2006</v>
      </c>
      <c r="C36" t="s">
        <v>3265</v>
      </c>
      <c r="D36" t="s">
        <v>2037</v>
      </c>
      <c r="E36" t="s">
        <v>2038</v>
      </c>
      <c r="G36" t="s">
        <v>3320</v>
      </c>
      <c r="H36" t="s">
        <v>3345</v>
      </c>
      <c r="J36">
        <v>1</v>
      </c>
      <c r="K36" t="str">
        <f t="shared" si="4"/>
        <v>UPS-5B-1</v>
      </c>
      <c r="M36" t="s">
        <v>583</v>
      </c>
    </row>
    <row r="37" spans="1:13" x14ac:dyDescent="0.25">
      <c r="A37" s="3" t="s">
        <v>584</v>
      </c>
      <c r="B37" t="s">
        <v>2006</v>
      </c>
      <c r="C37" t="s">
        <v>3266</v>
      </c>
      <c r="D37" t="s">
        <v>2037</v>
      </c>
      <c r="E37" t="s">
        <v>2038</v>
      </c>
      <c r="G37" t="s">
        <v>3320</v>
      </c>
      <c r="H37" t="s">
        <v>3345</v>
      </c>
      <c r="J37">
        <v>2</v>
      </c>
      <c r="K37" t="str">
        <f t="shared" si="4"/>
        <v>UPS-5B-2</v>
      </c>
      <c r="M37" t="s">
        <v>584</v>
      </c>
    </row>
    <row r="38" spans="1:13" x14ac:dyDescent="0.25">
      <c r="A38" s="3" t="s">
        <v>600</v>
      </c>
      <c r="B38" t="s">
        <v>2006</v>
      </c>
      <c r="C38" t="s">
        <v>3267</v>
      </c>
      <c r="D38" t="s">
        <v>2037</v>
      </c>
      <c r="E38" t="s">
        <v>2038</v>
      </c>
      <c r="G38" t="s">
        <v>3320</v>
      </c>
      <c r="H38" t="s">
        <v>3346</v>
      </c>
      <c r="J38">
        <v>1</v>
      </c>
      <c r="K38" t="str">
        <f t="shared" si="4"/>
        <v>UPS-5C-1</v>
      </c>
      <c r="M38" t="s">
        <v>600</v>
      </c>
    </row>
    <row r="39" spans="1:13" x14ac:dyDescent="0.25">
      <c r="A39" s="3" t="s">
        <v>601</v>
      </c>
      <c r="B39" t="s">
        <v>2006</v>
      </c>
      <c r="C39" t="s">
        <v>3268</v>
      </c>
      <c r="D39" t="s">
        <v>2037</v>
      </c>
      <c r="E39" t="s">
        <v>2038</v>
      </c>
      <c r="G39" t="s">
        <v>3320</v>
      </c>
      <c r="H39" t="s">
        <v>3346</v>
      </c>
      <c r="J39">
        <v>2</v>
      </c>
      <c r="K39" t="str">
        <f t="shared" si="4"/>
        <v>UPS-5C-2</v>
      </c>
      <c r="M39" t="s">
        <v>601</v>
      </c>
    </row>
    <row r="40" spans="1:13" x14ac:dyDescent="0.25">
      <c r="A40" s="3" t="s">
        <v>617</v>
      </c>
      <c r="B40" t="s">
        <v>2006</v>
      </c>
      <c r="C40" t="s">
        <v>3269</v>
      </c>
      <c r="D40" t="s">
        <v>2037</v>
      </c>
      <c r="E40" t="s">
        <v>2038</v>
      </c>
      <c r="G40" t="s">
        <v>3320</v>
      </c>
      <c r="H40" t="s">
        <v>3347</v>
      </c>
      <c r="J40">
        <v>1</v>
      </c>
      <c r="K40" t="str">
        <f t="shared" si="4"/>
        <v>UPS-5D-1</v>
      </c>
      <c r="M40" t="s">
        <v>617</v>
      </c>
    </row>
    <row r="41" spans="1:13" x14ac:dyDescent="0.25">
      <c r="A41" s="3" t="s">
        <v>618</v>
      </c>
      <c r="B41" t="s">
        <v>2006</v>
      </c>
      <c r="C41" t="s">
        <v>3270</v>
      </c>
      <c r="D41" t="s">
        <v>2037</v>
      </c>
      <c r="E41" t="s">
        <v>2038</v>
      </c>
      <c r="G41" t="s">
        <v>3320</v>
      </c>
      <c r="H41" t="s">
        <v>3347</v>
      </c>
      <c r="J41">
        <v>2</v>
      </c>
      <c r="K41" t="str">
        <f t="shared" si="4"/>
        <v>UPS-5D-2</v>
      </c>
      <c r="M41" t="s">
        <v>618</v>
      </c>
    </row>
    <row r="42" spans="1:13" x14ac:dyDescent="0.25">
      <c r="A42" s="3" t="s">
        <v>2007</v>
      </c>
      <c r="B42" t="s">
        <v>2006</v>
      </c>
      <c r="C42" t="s">
        <v>3271</v>
      </c>
      <c r="D42" t="s">
        <v>2037</v>
      </c>
      <c r="E42" t="s">
        <v>2038</v>
      </c>
      <c r="G42" t="s">
        <v>3325</v>
      </c>
      <c r="H42" t="s">
        <v>3348</v>
      </c>
      <c r="K42" t="str">
        <f t="shared" si="4"/>
        <v>MUPS-6A</v>
      </c>
      <c r="M42" t="s">
        <v>2008</v>
      </c>
    </row>
    <row r="43" spans="1:13" x14ac:dyDescent="0.25">
      <c r="A43" s="3" t="s">
        <v>2008</v>
      </c>
      <c r="B43" t="s">
        <v>2006</v>
      </c>
      <c r="C43" t="s">
        <v>3272</v>
      </c>
      <c r="D43" t="s">
        <v>2037</v>
      </c>
      <c r="E43" t="s">
        <v>2038</v>
      </c>
      <c r="G43" t="s">
        <v>3320</v>
      </c>
      <c r="H43" t="s">
        <v>3348</v>
      </c>
      <c r="K43" t="str">
        <f t="shared" si="4"/>
        <v>UPS-6A</v>
      </c>
      <c r="M43" t="s">
        <v>2009</v>
      </c>
    </row>
    <row r="44" spans="1:13" x14ac:dyDescent="0.25">
      <c r="A44" s="3" t="s">
        <v>2009</v>
      </c>
      <c r="B44" t="s">
        <v>2006</v>
      </c>
      <c r="C44" t="s">
        <v>3273</v>
      </c>
      <c r="D44" t="s">
        <v>2037</v>
      </c>
      <c r="E44" t="s">
        <v>2038</v>
      </c>
      <c r="G44" t="s">
        <v>3325</v>
      </c>
      <c r="H44" t="s">
        <v>3349</v>
      </c>
      <c r="K44" t="str">
        <f t="shared" ref="K44:K53" si="5">_xlfn.TEXTJOIN("-",TRUE,G44:J44)</f>
        <v>MUPS-6B</v>
      </c>
      <c r="M44" t="s">
        <v>2010</v>
      </c>
    </row>
    <row r="45" spans="1:13" x14ac:dyDescent="0.25">
      <c r="A45" s="3" t="s">
        <v>2010</v>
      </c>
      <c r="B45" t="s">
        <v>2006</v>
      </c>
      <c r="C45" t="s">
        <v>3274</v>
      </c>
      <c r="D45" t="s">
        <v>2037</v>
      </c>
      <c r="E45" t="s">
        <v>2038</v>
      </c>
      <c r="G45" t="s">
        <v>3320</v>
      </c>
      <c r="H45" t="s">
        <v>3349</v>
      </c>
      <c r="K45" t="str">
        <f t="shared" si="5"/>
        <v>UPS-6B</v>
      </c>
      <c r="M45" t="s">
        <v>2011</v>
      </c>
    </row>
    <row r="46" spans="1:13" x14ac:dyDescent="0.25">
      <c r="A46" s="3" t="s">
        <v>2011</v>
      </c>
      <c r="B46" t="s">
        <v>2006</v>
      </c>
      <c r="C46" t="s">
        <v>3275</v>
      </c>
      <c r="D46" t="s">
        <v>2037</v>
      </c>
      <c r="E46" t="s">
        <v>2038</v>
      </c>
      <c r="G46" t="s">
        <v>3325</v>
      </c>
      <c r="H46" t="s">
        <v>3350</v>
      </c>
      <c r="K46" t="str">
        <f t="shared" si="5"/>
        <v>MUPS-6C</v>
      </c>
      <c r="M46" t="s">
        <v>2012</v>
      </c>
    </row>
    <row r="47" spans="1:13" x14ac:dyDescent="0.25">
      <c r="A47" s="3" t="s">
        <v>2012</v>
      </c>
      <c r="B47" t="s">
        <v>2006</v>
      </c>
      <c r="C47" t="s">
        <v>3276</v>
      </c>
      <c r="D47" t="s">
        <v>2037</v>
      </c>
      <c r="E47" t="s">
        <v>2038</v>
      </c>
      <c r="G47" t="s">
        <v>3320</v>
      </c>
      <c r="H47" t="s">
        <v>3350</v>
      </c>
      <c r="K47" t="str">
        <f t="shared" si="5"/>
        <v>UPS-6C</v>
      </c>
      <c r="M47" t="s">
        <v>2013</v>
      </c>
    </row>
    <row r="48" spans="1:13" x14ac:dyDescent="0.25">
      <c r="A48" s="3" t="s">
        <v>2013</v>
      </c>
      <c r="B48" t="s">
        <v>2006</v>
      </c>
      <c r="C48" t="s">
        <v>3277</v>
      </c>
      <c r="D48" t="s">
        <v>2037</v>
      </c>
      <c r="E48" t="s">
        <v>2038</v>
      </c>
      <c r="G48" t="s">
        <v>3325</v>
      </c>
      <c r="H48" t="s">
        <v>3351</v>
      </c>
      <c r="K48" t="str">
        <f t="shared" si="5"/>
        <v>MUPS-6D</v>
      </c>
      <c r="M48" t="s">
        <v>2014</v>
      </c>
    </row>
    <row r="49" spans="1:13" x14ac:dyDescent="0.25">
      <c r="A49" s="3" t="s">
        <v>2014</v>
      </c>
      <c r="B49" t="s">
        <v>2006</v>
      </c>
      <c r="C49" t="s">
        <v>3278</v>
      </c>
      <c r="D49" t="s">
        <v>2037</v>
      </c>
      <c r="E49" t="s">
        <v>2038</v>
      </c>
      <c r="G49" t="s">
        <v>3320</v>
      </c>
      <c r="H49" t="s">
        <v>3351</v>
      </c>
      <c r="K49" t="str">
        <f t="shared" si="5"/>
        <v>UPS-6D</v>
      </c>
      <c r="M49" t="s">
        <v>2015</v>
      </c>
    </row>
    <row r="50" spans="1:13" x14ac:dyDescent="0.25">
      <c r="A50" s="3" t="s">
        <v>2015</v>
      </c>
      <c r="B50" t="s">
        <v>2006</v>
      </c>
      <c r="C50" t="s">
        <v>3279</v>
      </c>
      <c r="D50" t="s">
        <v>2037</v>
      </c>
      <c r="E50" t="s">
        <v>2038</v>
      </c>
      <c r="G50" t="s">
        <v>3325</v>
      </c>
      <c r="H50" t="s">
        <v>3352</v>
      </c>
      <c r="K50" t="str">
        <f t="shared" si="5"/>
        <v>MUPS-6E</v>
      </c>
      <c r="M50" t="s">
        <v>2016</v>
      </c>
    </row>
    <row r="51" spans="1:13" x14ac:dyDescent="0.25">
      <c r="A51" s="3" t="s">
        <v>2016</v>
      </c>
      <c r="B51" t="s">
        <v>2006</v>
      </c>
      <c r="C51" t="s">
        <v>3280</v>
      </c>
      <c r="D51" t="s">
        <v>2037</v>
      </c>
      <c r="E51" t="s">
        <v>2038</v>
      </c>
      <c r="G51" t="s">
        <v>3320</v>
      </c>
      <c r="H51" t="s">
        <v>3352</v>
      </c>
      <c r="K51" t="str">
        <f t="shared" si="5"/>
        <v>UPS-6E</v>
      </c>
      <c r="M51" t="s">
        <v>2017</v>
      </c>
    </row>
    <row r="52" spans="1:13" x14ac:dyDescent="0.25">
      <c r="A52" s="3" t="s">
        <v>2017</v>
      </c>
      <c r="B52" t="s">
        <v>2006</v>
      </c>
      <c r="C52" t="s">
        <v>3281</v>
      </c>
      <c r="D52" t="s">
        <v>2037</v>
      </c>
      <c r="E52" t="s">
        <v>2038</v>
      </c>
      <c r="G52" t="s">
        <v>3325</v>
      </c>
      <c r="H52" t="s">
        <v>3353</v>
      </c>
      <c r="K52" t="str">
        <f t="shared" si="5"/>
        <v>MUPS-7A</v>
      </c>
      <c r="M52" t="s">
        <v>2018</v>
      </c>
    </row>
    <row r="53" spans="1:13" x14ac:dyDescent="0.25">
      <c r="A53" s="3" t="s">
        <v>2018</v>
      </c>
      <c r="B53" t="s">
        <v>2006</v>
      </c>
      <c r="C53" t="s">
        <v>3282</v>
      </c>
      <c r="D53" t="s">
        <v>2037</v>
      </c>
      <c r="E53" t="s">
        <v>2038</v>
      </c>
      <c r="G53" t="s">
        <v>3320</v>
      </c>
      <c r="H53" t="s">
        <v>3353</v>
      </c>
      <c r="K53" t="str">
        <f t="shared" si="5"/>
        <v>UPS-7A</v>
      </c>
      <c r="M53" t="s">
        <v>2019</v>
      </c>
    </row>
    <row r="54" spans="1:13" x14ac:dyDescent="0.25">
      <c r="A54" s="3" t="s">
        <v>2019</v>
      </c>
      <c r="B54" t="s">
        <v>2006</v>
      </c>
      <c r="C54" t="s">
        <v>3283</v>
      </c>
      <c r="D54" t="s">
        <v>2037</v>
      </c>
      <c r="E54" t="s">
        <v>2038</v>
      </c>
      <c r="G54" t="s">
        <v>3325</v>
      </c>
      <c r="H54" t="s">
        <v>3354</v>
      </c>
      <c r="K54" t="str">
        <f t="shared" ref="K54:K62" si="6">_xlfn.TEXTJOIN("-",TRUE,G54:J54)</f>
        <v>MUPS-7B</v>
      </c>
      <c r="M54" t="s">
        <v>2020</v>
      </c>
    </row>
    <row r="55" spans="1:13" x14ac:dyDescent="0.25">
      <c r="A55" s="3" t="s">
        <v>2020</v>
      </c>
      <c r="B55" t="s">
        <v>2006</v>
      </c>
      <c r="C55" t="s">
        <v>3284</v>
      </c>
      <c r="D55" t="s">
        <v>2037</v>
      </c>
      <c r="E55" t="s">
        <v>2038</v>
      </c>
      <c r="G55" t="s">
        <v>3320</v>
      </c>
      <c r="H55" t="s">
        <v>3354</v>
      </c>
      <c r="K55" t="str">
        <f t="shared" si="6"/>
        <v>UPS-7B</v>
      </c>
      <c r="M55" t="s">
        <v>2021</v>
      </c>
    </row>
    <row r="56" spans="1:13" x14ac:dyDescent="0.25">
      <c r="A56" s="3" t="s">
        <v>2021</v>
      </c>
      <c r="B56" t="s">
        <v>2006</v>
      </c>
      <c r="C56" t="s">
        <v>3285</v>
      </c>
      <c r="D56" t="s">
        <v>2037</v>
      </c>
      <c r="E56" t="s">
        <v>2038</v>
      </c>
      <c r="G56" t="s">
        <v>3325</v>
      </c>
      <c r="H56" t="s">
        <v>3355</v>
      </c>
      <c r="K56" t="str">
        <f t="shared" si="6"/>
        <v>MUPS-7C</v>
      </c>
      <c r="M56" t="s">
        <v>2022</v>
      </c>
    </row>
    <row r="57" spans="1:13" x14ac:dyDescent="0.25">
      <c r="A57" s="3" t="s">
        <v>2022</v>
      </c>
      <c r="B57" t="s">
        <v>2006</v>
      </c>
      <c r="C57" t="s">
        <v>3286</v>
      </c>
      <c r="D57" t="s">
        <v>2037</v>
      </c>
      <c r="E57" t="s">
        <v>2038</v>
      </c>
      <c r="G57" t="s">
        <v>3320</v>
      </c>
      <c r="H57" t="s">
        <v>3355</v>
      </c>
      <c r="K57" t="str">
        <f t="shared" si="6"/>
        <v>UPS-7C</v>
      </c>
      <c r="M57" t="s">
        <v>2023</v>
      </c>
    </row>
    <row r="58" spans="1:13" x14ac:dyDescent="0.25">
      <c r="A58" s="3" t="s">
        <v>2023</v>
      </c>
      <c r="B58" t="s">
        <v>2006</v>
      </c>
      <c r="C58" t="s">
        <v>3287</v>
      </c>
      <c r="D58" t="s">
        <v>2037</v>
      </c>
      <c r="E58" t="s">
        <v>2038</v>
      </c>
      <c r="G58" t="s">
        <v>3325</v>
      </c>
      <c r="H58" t="s">
        <v>3356</v>
      </c>
      <c r="K58" t="str">
        <f t="shared" si="6"/>
        <v>MUPS-7D</v>
      </c>
      <c r="M58" t="s">
        <v>2024</v>
      </c>
    </row>
    <row r="59" spans="1:13" x14ac:dyDescent="0.25">
      <c r="A59" s="3" t="s">
        <v>2024</v>
      </c>
      <c r="B59" t="s">
        <v>2006</v>
      </c>
      <c r="C59" t="s">
        <v>3288</v>
      </c>
      <c r="D59" t="s">
        <v>2037</v>
      </c>
      <c r="E59" t="s">
        <v>2038</v>
      </c>
      <c r="G59" t="s">
        <v>3320</v>
      </c>
      <c r="H59" t="s">
        <v>3356</v>
      </c>
      <c r="K59" t="str">
        <f t="shared" si="6"/>
        <v>UPS-7D</v>
      </c>
      <c r="M59" t="s">
        <v>2025</v>
      </c>
    </row>
    <row r="60" spans="1:13" x14ac:dyDescent="0.25">
      <c r="A60" s="3" t="s">
        <v>2025</v>
      </c>
      <c r="B60" t="s">
        <v>2006</v>
      </c>
      <c r="C60" t="s">
        <v>3289</v>
      </c>
      <c r="D60" t="s">
        <v>2037</v>
      </c>
      <c r="E60" t="s">
        <v>2038</v>
      </c>
      <c r="G60" t="s">
        <v>3325</v>
      </c>
      <c r="H60" t="s">
        <v>3357</v>
      </c>
      <c r="K60" t="str">
        <f t="shared" si="6"/>
        <v>MUPS-7E</v>
      </c>
      <c r="M60" t="s">
        <v>2026</v>
      </c>
    </row>
    <row r="61" spans="1:13" x14ac:dyDescent="0.25">
      <c r="A61" s="3" t="s">
        <v>2026</v>
      </c>
      <c r="B61" t="s">
        <v>2006</v>
      </c>
      <c r="C61" t="s">
        <v>3290</v>
      </c>
      <c r="D61" t="s">
        <v>2037</v>
      </c>
      <c r="E61" t="s">
        <v>2038</v>
      </c>
      <c r="G61" t="s">
        <v>3320</v>
      </c>
      <c r="H61" t="s">
        <v>3357</v>
      </c>
      <c r="K61" t="str">
        <f t="shared" si="6"/>
        <v>UPS-7E</v>
      </c>
      <c r="M61" t="s">
        <v>2027</v>
      </c>
    </row>
    <row r="62" spans="1:13" x14ac:dyDescent="0.25">
      <c r="A62" s="3" t="s">
        <v>2027</v>
      </c>
      <c r="B62" t="s">
        <v>2006</v>
      </c>
      <c r="C62" t="s">
        <v>3291</v>
      </c>
      <c r="D62" t="s">
        <v>2037</v>
      </c>
      <c r="E62" t="s">
        <v>2038</v>
      </c>
      <c r="G62" t="s">
        <v>3320</v>
      </c>
      <c r="H62" t="s">
        <v>3327</v>
      </c>
      <c r="J62">
        <v>1</v>
      </c>
      <c r="K62" t="str">
        <f t="shared" si="6"/>
        <v>UPS-H1-1</v>
      </c>
      <c r="M62" t="s">
        <v>2007</v>
      </c>
    </row>
  </sheetData>
  <conditionalFormatting sqref="A2:A62">
    <cfRule type="duplicateValues" dxfId="0" priority="1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F710-D9CE-4A8F-A1D4-DB0CEB989ED7}">
  <dimension ref="A1:V466"/>
  <sheetViews>
    <sheetView tabSelected="1" topLeftCell="A238" workbookViewId="0">
      <selection activeCell="F251" sqref="F251"/>
    </sheetView>
  </sheetViews>
  <sheetFormatPr defaultRowHeight="15" x14ac:dyDescent="0.25"/>
  <cols>
    <col min="1" max="1" width="18.140625" customWidth="1"/>
    <col min="2" max="2" width="8.7109375" bestFit="1" customWidth="1"/>
    <col min="3" max="3" width="14.28515625" bestFit="1" customWidth="1"/>
    <col min="4" max="4" width="28.5703125" customWidth="1"/>
    <col min="6" max="6" width="13.85546875" bestFit="1" customWidth="1"/>
  </cols>
  <sheetData>
    <row r="1" spans="1:22" x14ac:dyDescent="0.25">
      <c r="A1" t="s">
        <v>3317</v>
      </c>
      <c r="B1" t="s">
        <v>3318</v>
      </c>
      <c r="C1" t="s">
        <v>2035</v>
      </c>
      <c r="D1" t="s">
        <v>3292</v>
      </c>
    </row>
    <row r="2" spans="1:22" x14ac:dyDescent="0.25">
      <c r="A2" t="s">
        <v>828</v>
      </c>
      <c r="B2" t="s">
        <v>731</v>
      </c>
      <c r="C2" t="s">
        <v>2213</v>
      </c>
      <c r="D2" t="s">
        <v>131</v>
      </c>
      <c r="J2" t="s">
        <v>3358</v>
      </c>
      <c r="K2">
        <v>1</v>
      </c>
      <c r="L2" t="s">
        <v>3321</v>
      </c>
      <c r="M2" t="str">
        <f>K2&amp;L2</f>
        <v>1A</v>
      </c>
      <c r="N2">
        <v>1</v>
      </c>
      <c r="O2" t="str">
        <f>_xlfn.TEXTJOIN("-",TRUE,J2,M2,N2)</f>
        <v>BUS-1A-1</v>
      </c>
      <c r="S2" t="s">
        <v>828</v>
      </c>
      <c r="T2" t="s">
        <v>731</v>
      </c>
      <c r="U2" t="s">
        <v>2213</v>
      </c>
      <c r="V2" t="s">
        <v>131</v>
      </c>
    </row>
    <row r="3" spans="1:22" x14ac:dyDescent="0.25">
      <c r="A3" t="s">
        <v>830</v>
      </c>
      <c r="B3" t="s">
        <v>731</v>
      </c>
      <c r="C3" t="s">
        <v>2217</v>
      </c>
      <c r="D3" t="s">
        <v>132</v>
      </c>
      <c r="J3" t="s">
        <v>3358</v>
      </c>
      <c r="K3">
        <v>1</v>
      </c>
      <c r="L3" t="s">
        <v>3321</v>
      </c>
      <c r="M3" t="str">
        <f t="shared" ref="M3:M9" si="0">K3&amp;L3</f>
        <v>1A</v>
      </c>
      <c r="N3">
        <v>2</v>
      </c>
      <c r="O3" t="str">
        <f t="shared" ref="O3:O9" si="1">_xlfn.TEXTJOIN("-",TRUE,J3,M3,N3)</f>
        <v>BUS-1A-2</v>
      </c>
      <c r="S3" t="s">
        <v>830</v>
      </c>
      <c r="T3" t="s">
        <v>731</v>
      </c>
      <c r="U3" t="s">
        <v>2217</v>
      </c>
      <c r="V3" t="s">
        <v>132</v>
      </c>
    </row>
    <row r="4" spans="1:22" x14ac:dyDescent="0.25">
      <c r="A4" t="s">
        <v>832</v>
      </c>
      <c r="B4" t="s">
        <v>731</v>
      </c>
      <c r="C4" t="s">
        <v>2221</v>
      </c>
      <c r="D4" t="s">
        <v>133</v>
      </c>
      <c r="J4" t="s">
        <v>3358</v>
      </c>
      <c r="K4">
        <v>1</v>
      </c>
      <c r="L4" t="s">
        <v>3321</v>
      </c>
      <c r="M4" t="str">
        <f t="shared" si="0"/>
        <v>1A</v>
      </c>
      <c r="N4">
        <v>3</v>
      </c>
      <c r="O4" t="str">
        <f t="shared" si="1"/>
        <v>BUS-1A-3</v>
      </c>
      <c r="S4" t="s">
        <v>832</v>
      </c>
      <c r="T4" t="s">
        <v>731</v>
      </c>
      <c r="U4" t="s">
        <v>2221</v>
      </c>
      <c r="V4" t="s">
        <v>133</v>
      </c>
    </row>
    <row r="5" spans="1:22" x14ac:dyDescent="0.25">
      <c r="A5" t="s">
        <v>834</v>
      </c>
      <c r="B5" t="s">
        <v>731</v>
      </c>
      <c r="C5" t="s">
        <v>2225</v>
      </c>
      <c r="D5" t="s">
        <v>134</v>
      </c>
      <c r="J5" t="s">
        <v>3358</v>
      </c>
      <c r="K5">
        <v>1</v>
      </c>
      <c r="L5" t="s">
        <v>3321</v>
      </c>
      <c r="M5" t="str">
        <f t="shared" si="0"/>
        <v>1A</v>
      </c>
      <c r="N5">
        <v>4</v>
      </c>
      <c r="O5" t="str">
        <f t="shared" si="1"/>
        <v>BUS-1A-4</v>
      </c>
      <c r="S5" t="s">
        <v>834</v>
      </c>
      <c r="T5" t="s">
        <v>731</v>
      </c>
      <c r="U5" t="s">
        <v>2225</v>
      </c>
      <c r="V5" t="s">
        <v>134</v>
      </c>
    </row>
    <row r="6" spans="1:22" x14ac:dyDescent="0.25">
      <c r="A6" t="s">
        <v>836</v>
      </c>
      <c r="B6" t="s">
        <v>731</v>
      </c>
      <c r="C6" t="s">
        <v>2229</v>
      </c>
      <c r="D6" t="s">
        <v>135</v>
      </c>
      <c r="J6" t="s">
        <v>3358</v>
      </c>
      <c r="K6">
        <v>1</v>
      </c>
      <c r="L6" t="s">
        <v>3321</v>
      </c>
      <c r="M6" t="str">
        <f t="shared" si="0"/>
        <v>1A</v>
      </c>
      <c r="N6">
        <v>5</v>
      </c>
      <c r="O6" t="str">
        <f t="shared" si="1"/>
        <v>BUS-1A-5</v>
      </c>
      <c r="S6" t="s">
        <v>836</v>
      </c>
      <c r="T6" t="s">
        <v>731</v>
      </c>
      <c r="U6" t="s">
        <v>2229</v>
      </c>
      <c r="V6" t="s">
        <v>135</v>
      </c>
    </row>
    <row r="7" spans="1:22" x14ac:dyDescent="0.25">
      <c r="A7" t="s">
        <v>838</v>
      </c>
      <c r="B7" t="s">
        <v>731</v>
      </c>
      <c r="C7" t="s">
        <v>2233</v>
      </c>
      <c r="D7" t="s">
        <v>136</v>
      </c>
      <c r="J7" t="s">
        <v>3358</v>
      </c>
      <c r="K7">
        <v>1</v>
      </c>
      <c r="L7" t="s">
        <v>3321</v>
      </c>
      <c r="M7" t="str">
        <f t="shared" si="0"/>
        <v>1A</v>
      </c>
      <c r="N7">
        <v>6</v>
      </c>
      <c r="O7" t="str">
        <f t="shared" si="1"/>
        <v>BUS-1A-6</v>
      </c>
      <c r="S7" t="s">
        <v>838</v>
      </c>
      <c r="T7" t="s">
        <v>731</v>
      </c>
      <c r="U7" t="s">
        <v>2233</v>
      </c>
      <c r="V7" t="s">
        <v>136</v>
      </c>
    </row>
    <row r="8" spans="1:22" x14ac:dyDescent="0.25">
      <c r="A8" t="s">
        <v>799</v>
      </c>
      <c r="B8" t="s">
        <v>731</v>
      </c>
      <c r="C8" t="s">
        <v>2155</v>
      </c>
      <c r="D8" t="s">
        <v>137</v>
      </c>
      <c r="J8" t="s">
        <v>3358</v>
      </c>
      <c r="K8">
        <v>1</v>
      </c>
      <c r="L8" t="s">
        <v>3321</v>
      </c>
      <c r="M8" t="str">
        <f t="shared" si="0"/>
        <v>1A</v>
      </c>
      <c r="N8">
        <v>7</v>
      </c>
      <c r="O8" t="str">
        <f t="shared" si="1"/>
        <v>BUS-1A-7</v>
      </c>
      <c r="S8" t="s">
        <v>799</v>
      </c>
      <c r="T8" t="s">
        <v>731</v>
      </c>
      <c r="U8" t="s">
        <v>2155</v>
      </c>
      <c r="V8" t="s">
        <v>137</v>
      </c>
    </row>
    <row r="9" spans="1:22" x14ac:dyDescent="0.25">
      <c r="A9" t="s">
        <v>796</v>
      </c>
      <c r="B9" t="s">
        <v>731</v>
      </c>
      <c r="C9" t="s">
        <v>2148</v>
      </c>
      <c r="D9" t="s">
        <v>138</v>
      </c>
      <c r="J9" t="s">
        <v>3358</v>
      </c>
      <c r="K9">
        <v>1</v>
      </c>
      <c r="L9" t="s">
        <v>3321</v>
      </c>
      <c r="M9" t="str">
        <f t="shared" si="0"/>
        <v>1A</v>
      </c>
      <c r="N9">
        <v>8</v>
      </c>
      <c r="O9" t="str">
        <f t="shared" si="1"/>
        <v>BUS-1A-8</v>
      </c>
      <c r="S9" t="s">
        <v>796</v>
      </c>
      <c r="T9" t="s">
        <v>731</v>
      </c>
      <c r="U9" t="s">
        <v>2148</v>
      </c>
      <c r="V9" t="s">
        <v>138</v>
      </c>
    </row>
    <row r="10" spans="1:22" x14ac:dyDescent="0.25">
      <c r="A10" t="s">
        <v>3366</v>
      </c>
      <c r="B10" t="s">
        <v>731</v>
      </c>
      <c r="C10" t="s">
        <v>2214</v>
      </c>
      <c r="D10" t="s">
        <v>182</v>
      </c>
      <c r="J10" t="s">
        <v>3358</v>
      </c>
      <c r="K10">
        <v>1</v>
      </c>
      <c r="L10" t="s">
        <v>3322</v>
      </c>
      <c r="M10" t="str">
        <f>K10&amp;L10</f>
        <v>1B</v>
      </c>
      <c r="N10">
        <v>1</v>
      </c>
      <c r="O10" t="str">
        <f>_xlfn.TEXTJOIN("-",TRUE,J10,M10,N10)</f>
        <v>BUS-1B-1</v>
      </c>
      <c r="S10" t="s">
        <v>829</v>
      </c>
      <c r="T10" t="s">
        <v>731</v>
      </c>
      <c r="U10" t="s">
        <v>2214</v>
      </c>
      <c r="V10" t="s">
        <v>182</v>
      </c>
    </row>
    <row r="11" spans="1:22" x14ac:dyDescent="0.25">
      <c r="A11" t="s">
        <v>3367</v>
      </c>
      <c r="B11" t="s">
        <v>731</v>
      </c>
      <c r="C11" t="s">
        <v>2215</v>
      </c>
      <c r="D11" t="s">
        <v>182</v>
      </c>
      <c r="J11" t="s">
        <v>3358</v>
      </c>
      <c r="K11">
        <v>1</v>
      </c>
      <c r="L11" t="s">
        <v>3322</v>
      </c>
      <c r="M11" t="str">
        <f t="shared" ref="M11:M17" si="2">K11&amp;L11</f>
        <v>1B</v>
      </c>
      <c r="N11">
        <v>2</v>
      </c>
      <c r="O11" t="str">
        <f t="shared" ref="O11:O17" si="3">_xlfn.TEXTJOIN("-",TRUE,J11,M11,N11)</f>
        <v>BUS-1B-2</v>
      </c>
      <c r="S11" t="s">
        <v>829</v>
      </c>
      <c r="T11" t="s">
        <v>731</v>
      </c>
      <c r="U11" t="s">
        <v>2215</v>
      </c>
      <c r="V11" t="s">
        <v>182</v>
      </c>
    </row>
    <row r="12" spans="1:22" x14ac:dyDescent="0.25">
      <c r="A12" t="s">
        <v>829</v>
      </c>
      <c r="B12" t="s">
        <v>731</v>
      </c>
      <c r="C12" t="s">
        <v>2216</v>
      </c>
      <c r="D12" t="s">
        <v>182</v>
      </c>
      <c r="J12" t="s">
        <v>3358</v>
      </c>
      <c r="K12">
        <v>1</v>
      </c>
      <c r="L12" t="s">
        <v>3322</v>
      </c>
      <c r="M12" t="str">
        <f t="shared" si="2"/>
        <v>1B</v>
      </c>
      <c r="N12">
        <v>3</v>
      </c>
      <c r="O12" t="str">
        <f t="shared" si="3"/>
        <v>BUS-1B-3</v>
      </c>
      <c r="S12" t="s">
        <v>829</v>
      </c>
      <c r="T12" t="s">
        <v>731</v>
      </c>
      <c r="U12" t="s">
        <v>2216</v>
      </c>
      <c r="V12" t="s">
        <v>182</v>
      </c>
    </row>
    <row r="13" spans="1:22" x14ac:dyDescent="0.25">
      <c r="A13" t="s">
        <v>831</v>
      </c>
      <c r="B13" t="s">
        <v>731</v>
      </c>
      <c r="C13" t="s">
        <v>2218</v>
      </c>
      <c r="D13" t="s">
        <v>183</v>
      </c>
      <c r="J13" t="s">
        <v>3358</v>
      </c>
      <c r="K13">
        <v>1</v>
      </c>
      <c r="L13" t="s">
        <v>3322</v>
      </c>
      <c r="M13" t="str">
        <f t="shared" si="2"/>
        <v>1B</v>
      </c>
      <c r="N13">
        <v>4</v>
      </c>
      <c r="O13" t="str">
        <f t="shared" si="3"/>
        <v>BUS-1B-4</v>
      </c>
      <c r="S13" t="s">
        <v>831</v>
      </c>
      <c r="T13" t="s">
        <v>731</v>
      </c>
      <c r="U13" t="s">
        <v>2218</v>
      </c>
      <c r="V13" t="s">
        <v>183</v>
      </c>
    </row>
    <row r="14" spans="1:22" x14ac:dyDescent="0.25">
      <c r="A14" t="s">
        <v>831</v>
      </c>
      <c r="B14" t="s">
        <v>731</v>
      </c>
      <c r="C14" t="s">
        <v>2219</v>
      </c>
      <c r="D14" t="s">
        <v>183</v>
      </c>
      <c r="J14" t="s">
        <v>3358</v>
      </c>
      <c r="K14">
        <v>1</v>
      </c>
      <c r="L14" t="s">
        <v>3322</v>
      </c>
      <c r="M14" t="str">
        <f t="shared" si="2"/>
        <v>1B</v>
      </c>
      <c r="N14">
        <v>5</v>
      </c>
      <c r="O14" t="str">
        <f t="shared" si="3"/>
        <v>BUS-1B-5</v>
      </c>
      <c r="S14" t="s">
        <v>831</v>
      </c>
      <c r="T14" t="s">
        <v>731</v>
      </c>
      <c r="U14" t="s">
        <v>2219</v>
      </c>
      <c r="V14" t="s">
        <v>183</v>
      </c>
    </row>
    <row r="15" spans="1:22" x14ac:dyDescent="0.25">
      <c r="A15" t="s">
        <v>831</v>
      </c>
      <c r="B15" t="s">
        <v>731</v>
      </c>
      <c r="C15" t="s">
        <v>2220</v>
      </c>
      <c r="D15" t="s">
        <v>183</v>
      </c>
      <c r="J15" t="s">
        <v>3358</v>
      </c>
      <c r="K15">
        <v>1</v>
      </c>
      <c r="L15" t="s">
        <v>3322</v>
      </c>
      <c r="M15" t="str">
        <f t="shared" si="2"/>
        <v>1B</v>
      </c>
      <c r="N15">
        <v>6</v>
      </c>
      <c r="O15" t="str">
        <f t="shared" si="3"/>
        <v>BUS-1B-6</v>
      </c>
      <c r="S15" t="s">
        <v>831</v>
      </c>
      <c r="T15" t="s">
        <v>731</v>
      </c>
      <c r="U15" t="s">
        <v>2220</v>
      </c>
      <c r="V15" t="s">
        <v>183</v>
      </c>
    </row>
    <row r="16" spans="1:22" x14ac:dyDescent="0.25">
      <c r="A16" t="s">
        <v>833</v>
      </c>
      <c r="B16" t="s">
        <v>731</v>
      </c>
      <c r="C16" t="s">
        <v>2222</v>
      </c>
      <c r="D16" t="s">
        <v>184</v>
      </c>
      <c r="J16" t="s">
        <v>3358</v>
      </c>
      <c r="K16">
        <v>1</v>
      </c>
      <c r="L16" t="s">
        <v>3322</v>
      </c>
      <c r="M16" t="str">
        <f t="shared" si="2"/>
        <v>1B</v>
      </c>
      <c r="N16">
        <v>7</v>
      </c>
      <c r="O16" t="str">
        <f t="shared" si="3"/>
        <v>BUS-1B-7</v>
      </c>
      <c r="S16" t="s">
        <v>833</v>
      </c>
      <c r="T16" t="s">
        <v>731</v>
      </c>
      <c r="U16" t="s">
        <v>2222</v>
      </c>
      <c r="V16" t="s">
        <v>184</v>
      </c>
    </row>
    <row r="17" spans="1:22" x14ac:dyDescent="0.25">
      <c r="A17" t="s">
        <v>833</v>
      </c>
      <c r="B17" t="s">
        <v>731</v>
      </c>
      <c r="C17" t="s">
        <v>2223</v>
      </c>
      <c r="D17" t="s">
        <v>184</v>
      </c>
      <c r="J17" t="s">
        <v>3358</v>
      </c>
      <c r="K17">
        <v>1</v>
      </c>
      <c r="L17" t="s">
        <v>3322</v>
      </c>
      <c r="M17" t="str">
        <f t="shared" si="2"/>
        <v>1B</v>
      </c>
      <c r="N17">
        <v>8</v>
      </c>
      <c r="O17" t="str">
        <f t="shared" si="3"/>
        <v>BUS-1B-8</v>
      </c>
      <c r="S17" t="s">
        <v>833</v>
      </c>
      <c r="T17" t="s">
        <v>731</v>
      </c>
      <c r="U17" t="s">
        <v>2223</v>
      </c>
      <c r="V17" t="s">
        <v>184</v>
      </c>
    </row>
    <row r="18" spans="1:22" x14ac:dyDescent="0.25">
      <c r="A18" t="s">
        <v>833</v>
      </c>
      <c r="B18" t="s">
        <v>731</v>
      </c>
      <c r="C18" t="s">
        <v>2224</v>
      </c>
      <c r="D18" t="s">
        <v>184</v>
      </c>
      <c r="J18" t="s">
        <v>3358</v>
      </c>
      <c r="K18">
        <v>1</v>
      </c>
      <c r="L18" t="s">
        <v>3323</v>
      </c>
      <c r="M18" t="str">
        <f>K18&amp;L18</f>
        <v>1C</v>
      </c>
      <c r="N18">
        <v>1</v>
      </c>
      <c r="O18" t="str">
        <f>_xlfn.TEXTJOIN("-",TRUE,J18,M18,N18)</f>
        <v>BUS-1C-1</v>
      </c>
      <c r="S18" t="s">
        <v>833</v>
      </c>
      <c r="T18" t="s">
        <v>731</v>
      </c>
      <c r="U18" t="s">
        <v>2224</v>
      </c>
      <c r="V18" t="s">
        <v>184</v>
      </c>
    </row>
    <row r="19" spans="1:22" x14ac:dyDescent="0.25">
      <c r="A19" t="s">
        <v>835</v>
      </c>
      <c r="B19" t="s">
        <v>731</v>
      </c>
      <c r="C19" t="s">
        <v>2226</v>
      </c>
      <c r="D19" t="s">
        <v>185</v>
      </c>
      <c r="J19" t="s">
        <v>3358</v>
      </c>
      <c r="K19">
        <v>1</v>
      </c>
      <c r="L19" t="s">
        <v>3323</v>
      </c>
      <c r="M19" t="str">
        <f t="shared" ref="M19:M25" si="4">K19&amp;L19</f>
        <v>1C</v>
      </c>
      <c r="N19">
        <v>2</v>
      </c>
      <c r="O19" t="str">
        <f t="shared" ref="O19:O25" si="5">_xlfn.TEXTJOIN("-",TRUE,J19,M19,N19)</f>
        <v>BUS-1C-2</v>
      </c>
      <c r="S19" t="s">
        <v>835</v>
      </c>
      <c r="T19" t="s">
        <v>731</v>
      </c>
      <c r="U19" t="s">
        <v>2226</v>
      </c>
      <c r="V19" t="s">
        <v>185</v>
      </c>
    </row>
    <row r="20" spans="1:22" x14ac:dyDescent="0.25">
      <c r="A20" t="s">
        <v>835</v>
      </c>
      <c r="B20" t="s">
        <v>731</v>
      </c>
      <c r="C20" t="s">
        <v>2227</v>
      </c>
      <c r="D20" t="s">
        <v>185</v>
      </c>
      <c r="J20" t="s">
        <v>3358</v>
      </c>
      <c r="K20">
        <v>1</v>
      </c>
      <c r="L20" t="s">
        <v>3323</v>
      </c>
      <c r="M20" t="str">
        <f t="shared" si="4"/>
        <v>1C</v>
      </c>
      <c r="N20">
        <v>3</v>
      </c>
      <c r="O20" t="str">
        <f t="shared" si="5"/>
        <v>BUS-1C-3</v>
      </c>
      <c r="S20" t="s">
        <v>835</v>
      </c>
      <c r="T20" t="s">
        <v>731</v>
      </c>
      <c r="U20" t="s">
        <v>2227</v>
      </c>
      <c r="V20" t="s">
        <v>185</v>
      </c>
    </row>
    <row r="21" spans="1:22" x14ac:dyDescent="0.25">
      <c r="A21" t="s">
        <v>835</v>
      </c>
      <c r="B21" t="s">
        <v>731</v>
      </c>
      <c r="C21" t="s">
        <v>2228</v>
      </c>
      <c r="D21" t="s">
        <v>185</v>
      </c>
      <c r="J21" t="s">
        <v>3358</v>
      </c>
      <c r="K21">
        <v>1</v>
      </c>
      <c r="L21" t="s">
        <v>3323</v>
      </c>
      <c r="M21" t="str">
        <f t="shared" si="4"/>
        <v>1C</v>
      </c>
      <c r="N21">
        <v>4</v>
      </c>
      <c r="O21" t="str">
        <f t="shared" si="5"/>
        <v>BUS-1C-4</v>
      </c>
      <c r="S21" t="s">
        <v>835</v>
      </c>
      <c r="T21" t="s">
        <v>731</v>
      </c>
      <c r="U21" t="s">
        <v>2228</v>
      </c>
      <c r="V21" t="s">
        <v>185</v>
      </c>
    </row>
    <row r="22" spans="1:22" x14ac:dyDescent="0.25">
      <c r="A22" t="s">
        <v>837</v>
      </c>
      <c r="B22" t="s">
        <v>731</v>
      </c>
      <c r="C22" t="s">
        <v>2230</v>
      </c>
      <c r="D22" t="s">
        <v>186</v>
      </c>
      <c r="J22" t="s">
        <v>3358</v>
      </c>
      <c r="K22">
        <v>1</v>
      </c>
      <c r="L22" t="s">
        <v>3323</v>
      </c>
      <c r="M22" t="str">
        <f t="shared" si="4"/>
        <v>1C</v>
      </c>
      <c r="N22">
        <v>5</v>
      </c>
      <c r="O22" t="str">
        <f t="shared" si="5"/>
        <v>BUS-1C-5</v>
      </c>
      <c r="S22" t="s">
        <v>837</v>
      </c>
      <c r="T22" t="s">
        <v>731</v>
      </c>
      <c r="U22" t="s">
        <v>2230</v>
      </c>
      <c r="V22" t="s">
        <v>186</v>
      </c>
    </row>
    <row r="23" spans="1:22" x14ac:dyDescent="0.25">
      <c r="A23" t="s">
        <v>837</v>
      </c>
      <c r="B23" t="s">
        <v>731</v>
      </c>
      <c r="C23" t="s">
        <v>2231</v>
      </c>
      <c r="D23" t="s">
        <v>186</v>
      </c>
      <c r="J23" t="s">
        <v>3358</v>
      </c>
      <c r="K23">
        <v>1</v>
      </c>
      <c r="L23" t="s">
        <v>3323</v>
      </c>
      <c r="M23" t="str">
        <f t="shared" si="4"/>
        <v>1C</v>
      </c>
      <c r="N23">
        <v>6</v>
      </c>
      <c r="O23" t="str">
        <f t="shared" si="5"/>
        <v>BUS-1C-6</v>
      </c>
      <c r="S23" t="s">
        <v>837</v>
      </c>
      <c r="T23" t="s">
        <v>731</v>
      </c>
      <c r="U23" t="s">
        <v>2231</v>
      </c>
      <c r="V23" t="s">
        <v>186</v>
      </c>
    </row>
    <row r="24" spans="1:22" x14ac:dyDescent="0.25">
      <c r="A24" t="s">
        <v>837</v>
      </c>
      <c r="B24" t="s">
        <v>731</v>
      </c>
      <c r="C24" t="s">
        <v>2232</v>
      </c>
      <c r="D24" t="s">
        <v>186</v>
      </c>
      <c r="J24" t="s">
        <v>3358</v>
      </c>
      <c r="K24">
        <v>1</v>
      </c>
      <c r="L24" t="s">
        <v>3323</v>
      </c>
      <c r="M24" t="str">
        <f t="shared" si="4"/>
        <v>1C</v>
      </c>
      <c r="N24">
        <v>7</v>
      </c>
      <c r="O24" t="str">
        <f t="shared" si="5"/>
        <v>BUS-1C-7</v>
      </c>
      <c r="S24" t="s">
        <v>837</v>
      </c>
      <c r="T24" t="s">
        <v>731</v>
      </c>
      <c r="U24" t="s">
        <v>2232</v>
      </c>
      <c r="V24" t="s">
        <v>186</v>
      </c>
    </row>
    <row r="25" spans="1:22" x14ac:dyDescent="0.25">
      <c r="A25" t="s">
        <v>839</v>
      </c>
      <c r="B25" t="s">
        <v>731</v>
      </c>
      <c r="C25" t="s">
        <v>2234</v>
      </c>
      <c r="D25" t="s">
        <v>187</v>
      </c>
      <c r="J25" t="s">
        <v>3358</v>
      </c>
      <c r="K25">
        <v>1</v>
      </c>
      <c r="L25" t="s">
        <v>3323</v>
      </c>
      <c r="M25" t="str">
        <f t="shared" si="4"/>
        <v>1C</v>
      </c>
      <c r="N25">
        <v>8</v>
      </c>
      <c r="O25" t="str">
        <f t="shared" si="5"/>
        <v>BUS-1C-8</v>
      </c>
      <c r="S25" t="s">
        <v>839</v>
      </c>
      <c r="T25" t="s">
        <v>731</v>
      </c>
      <c r="U25" t="s">
        <v>2234</v>
      </c>
      <c r="V25" t="s">
        <v>187</v>
      </c>
    </row>
    <row r="26" spans="1:22" x14ac:dyDescent="0.25">
      <c r="A26" t="s">
        <v>839</v>
      </c>
      <c r="B26" t="s">
        <v>731</v>
      </c>
      <c r="C26" t="s">
        <v>2235</v>
      </c>
      <c r="D26" t="s">
        <v>187</v>
      </c>
      <c r="J26" t="s">
        <v>3358</v>
      </c>
      <c r="K26">
        <v>1</v>
      </c>
      <c r="L26" t="s">
        <v>3324</v>
      </c>
      <c r="M26" t="str">
        <f>K26&amp;L26</f>
        <v>1D</v>
      </c>
      <c r="N26">
        <v>1</v>
      </c>
      <c r="O26" t="str">
        <f>_xlfn.TEXTJOIN("-",TRUE,J26,M26,N26)</f>
        <v>BUS-1D-1</v>
      </c>
      <c r="S26" t="s">
        <v>839</v>
      </c>
      <c r="T26" t="s">
        <v>731</v>
      </c>
      <c r="U26" t="s">
        <v>2235</v>
      </c>
      <c r="V26" t="s">
        <v>187</v>
      </c>
    </row>
    <row r="27" spans="1:22" x14ac:dyDescent="0.25">
      <c r="A27" t="s">
        <v>839</v>
      </c>
      <c r="B27" t="s">
        <v>731</v>
      </c>
      <c r="C27" t="s">
        <v>2236</v>
      </c>
      <c r="D27" t="s">
        <v>187</v>
      </c>
      <c r="J27" t="s">
        <v>3358</v>
      </c>
      <c r="K27">
        <v>1</v>
      </c>
      <c r="L27" t="s">
        <v>3324</v>
      </c>
      <c r="M27" t="str">
        <f t="shared" ref="M27:M33" si="6">K27&amp;L27</f>
        <v>1D</v>
      </c>
      <c r="N27">
        <v>2</v>
      </c>
      <c r="O27" t="str">
        <f t="shared" ref="O27:O33" si="7">_xlfn.TEXTJOIN("-",TRUE,J27,M27,N27)</f>
        <v>BUS-1D-2</v>
      </c>
      <c r="S27" t="s">
        <v>839</v>
      </c>
      <c r="T27" t="s">
        <v>731</v>
      </c>
      <c r="U27" t="s">
        <v>2236</v>
      </c>
      <c r="V27" t="s">
        <v>187</v>
      </c>
    </row>
    <row r="28" spans="1:22" x14ac:dyDescent="0.25">
      <c r="A28" t="s">
        <v>800</v>
      </c>
      <c r="B28" t="s">
        <v>731</v>
      </c>
      <c r="C28" t="s">
        <v>2156</v>
      </c>
      <c r="D28" t="s">
        <v>188</v>
      </c>
      <c r="J28" t="s">
        <v>3358</v>
      </c>
      <c r="K28">
        <v>1</v>
      </c>
      <c r="L28" t="s">
        <v>3324</v>
      </c>
      <c r="M28" t="str">
        <f t="shared" si="6"/>
        <v>1D</v>
      </c>
      <c r="N28">
        <v>3</v>
      </c>
      <c r="O28" t="str">
        <f t="shared" si="7"/>
        <v>BUS-1D-3</v>
      </c>
      <c r="S28" t="s">
        <v>800</v>
      </c>
      <c r="T28" t="s">
        <v>731</v>
      </c>
      <c r="U28" t="s">
        <v>2156</v>
      </c>
      <c r="V28" t="s">
        <v>188</v>
      </c>
    </row>
    <row r="29" spans="1:22" x14ac:dyDescent="0.25">
      <c r="A29" t="s">
        <v>800</v>
      </c>
      <c r="B29" t="s">
        <v>731</v>
      </c>
      <c r="C29" t="s">
        <v>2157</v>
      </c>
      <c r="D29" t="s">
        <v>188</v>
      </c>
      <c r="J29" t="s">
        <v>3358</v>
      </c>
      <c r="K29">
        <v>1</v>
      </c>
      <c r="L29" t="s">
        <v>3324</v>
      </c>
      <c r="M29" t="str">
        <f t="shared" si="6"/>
        <v>1D</v>
      </c>
      <c r="N29">
        <v>4</v>
      </c>
      <c r="O29" t="str">
        <f t="shared" si="7"/>
        <v>BUS-1D-4</v>
      </c>
      <c r="S29" t="s">
        <v>800</v>
      </c>
      <c r="T29" t="s">
        <v>731</v>
      </c>
      <c r="U29" t="s">
        <v>2157</v>
      </c>
      <c r="V29" t="s">
        <v>188</v>
      </c>
    </row>
    <row r="30" spans="1:22" x14ac:dyDescent="0.25">
      <c r="A30" t="s">
        <v>800</v>
      </c>
      <c r="B30" t="s">
        <v>731</v>
      </c>
      <c r="C30" t="s">
        <v>2158</v>
      </c>
      <c r="D30" t="s">
        <v>188</v>
      </c>
      <c r="J30" t="s">
        <v>3358</v>
      </c>
      <c r="K30">
        <v>1</v>
      </c>
      <c r="L30" t="s">
        <v>3324</v>
      </c>
      <c r="M30" t="str">
        <f t="shared" si="6"/>
        <v>1D</v>
      </c>
      <c r="N30">
        <v>5</v>
      </c>
      <c r="O30" t="str">
        <f t="shared" si="7"/>
        <v>BUS-1D-5</v>
      </c>
      <c r="S30" t="s">
        <v>800</v>
      </c>
      <c r="T30" t="s">
        <v>731</v>
      </c>
      <c r="U30" t="s">
        <v>2158</v>
      </c>
      <c r="V30" t="s">
        <v>188</v>
      </c>
    </row>
    <row r="31" spans="1:22" x14ac:dyDescent="0.25">
      <c r="A31" t="s">
        <v>797</v>
      </c>
      <c r="B31" t="s">
        <v>731</v>
      </c>
      <c r="C31" t="s">
        <v>2149</v>
      </c>
      <c r="D31" t="s">
        <v>189</v>
      </c>
      <c r="J31" t="s">
        <v>3358</v>
      </c>
      <c r="K31">
        <v>1</v>
      </c>
      <c r="L31" t="s">
        <v>3324</v>
      </c>
      <c r="M31" t="str">
        <f t="shared" si="6"/>
        <v>1D</v>
      </c>
      <c r="N31">
        <v>6</v>
      </c>
      <c r="O31" t="str">
        <f t="shared" si="7"/>
        <v>BUS-1D-6</v>
      </c>
      <c r="S31" t="s">
        <v>797</v>
      </c>
      <c r="T31" t="s">
        <v>731</v>
      </c>
      <c r="U31" t="s">
        <v>2149</v>
      </c>
      <c r="V31" t="s">
        <v>189</v>
      </c>
    </row>
    <row r="32" spans="1:22" x14ac:dyDescent="0.25">
      <c r="A32" t="s">
        <v>797</v>
      </c>
      <c r="B32" t="s">
        <v>731</v>
      </c>
      <c r="C32" t="s">
        <v>2150</v>
      </c>
      <c r="D32" t="s">
        <v>189</v>
      </c>
      <c r="J32" t="s">
        <v>3358</v>
      </c>
      <c r="K32">
        <v>1</v>
      </c>
      <c r="L32" t="s">
        <v>3324</v>
      </c>
      <c r="M32" t="str">
        <f t="shared" si="6"/>
        <v>1D</v>
      </c>
      <c r="N32">
        <v>7</v>
      </c>
      <c r="O32" t="str">
        <f t="shared" si="7"/>
        <v>BUS-1D-7</v>
      </c>
      <c r="S32" t="s">
        <v>797</v>
      </c>
      <c r="T32" t="s">
        <v>731</v>
      </c>
      <c r="U32" t="s">
        <v>2150</v>
      </c>
      <c r="V32" t="s">
        <v>189</v>
      </c>
    </row>
    <row r="33" spans="1:22" x14ac:dyDescent="0.25">
      <c r="A33" t="s">
        <v>797</v>
      </c>
      <c r="B33" t="s">
        <v>731</v>
      </c>
      <c r="C33" t="s">
        <v>2151</v>
      </c>
      <c r="D33" t="s">
        <v>189</v>
      </c>
      <c r="J33" t="s">
        <v>3358</v>
      </c>
      <c r="K33">
        <v>1</v>
      </c>
      <c r="L33" t="s">
        <v>3324</v>
      </c>
      <c r="M33" t="str">
        <f t="shared" si="6"/>
        <v>1D</v>
      </c>
      <c r="N33">
        <v>8</v>
      </c>
      <c r="O33" t="str">
        <f t="shared" si="7"/>
        <v>BUS-1D-8</v>
      </c>
      <c r="S33" t="s">
        <v>797</v>
      </c>
      <c r="T33" t="s">
        <v>731</v>
      </c>
      <c r="U33" t="s">
        <v>2151</v>
      </c>
      <c r="V33" t="s">
        <v>189</v>
      </c>
    </row>
    <row r="34" spans="1:22" x14ac:dyDescent="0.25">
      <c r="A34" t="s">
        <v>874</v>
      </c>
      <c r="B34" t="s">
        <v>731</v>
      </c>
      <c r="C34" t="s">
        <v>2271</v>
      </c>
      <c r="D34" t="s">
        <v>212</v>
      </c>
      <c r="J34" t="s">
        <v>3358</v>
      </c>
      <c r="K34">
        <v>2</v>
      </c>
      <c r="L34" t="s">
        <v>3321</v>
      </c>
      <c r="M34" t="str">
        <f>K34&amp;L34</f>
        <v>2A</v>
      </c>
      <c r="N34">
        <v>1</v>
      </c>
      <c r="O34" t="str">
        <f>_xlfn.TEXTJOIN("-",TRUE,J34,M34,N34)</f>
        <v>BUS-2A-1</v>
      </c>
      <c r="S34" t="s">
        <v>874</v>
      </c>
      <c r="T34" t="s">
        <v>731</v>
      </c>
      <c r="U34" t="s">
        <v>2271</v>
      </c>
      <c r="V34" t="s">
        <v>212</v>
      </c>
    </row>
    <row r="35" spans="1:22" x14ac:dyDescent="0.25">
      <c r="A35" t="s">
        <v>878</v>
      </c>
      <c r="B35" t="s">
        <v>731</v>
      </c>
      <c r="C35" t="s">
        <v>2275</v>
      </c>
      <c r="D35" t="s">
        <v>213</v>
      </c>
      <c r="J35" t="s">
        <v>3358</v>
      </c>
      <c r="K35">
        <v>2</v>
      </c>
      <c r="L35" t="s">
        <v>3321</v>
      </c>
      <c r="M35" t="str">
        <f t="shared" ref="M35:M41" si="8">K35&amp;L35</f>
        <v>2A</v>
      </c>
      <c r="N35">
        <v>2</v>
      </c>
      <c r="O35" t="str">
        <f t="shared" ref="O35:O41" si="9">_xlfn.TEXTJOIN("-",TRUE,J35,M35,N35)</f>
        <v>BUS-2A-2</v>
      </c>
      <c r="S35" t="s">
        <v>878</v>
      </c>
      <c r="T35" t="s">
        <v>731</v>
      </c>
      <c r="U35" t="s">
        <v>2275</v>
      </c>
      <c r="V35" t="s">
        <v>213</v>
      </c>
    </row>
    <row r="36" spans="1:22" x14ac:dyDescent="0.25">
      <c r="A36" t="s">
        <v>883</v>
      </c>
      <c r="B36" t="s">
        <v>731</v>
      </c>
      <c r="C36" t="s">
        <v>2280</v>
      </c>
      <c r="D36" t="s">
        <v>214</v>
      </c>
      <c r="J36" t="s">
        <v>3358</v>
      </c>
      <c r="K36">
        <v>2</v>
      </c>
      <c r="L36" t="s">
        <v>3321</v>
      </c>
      <c r="M36" t="str">
        <f t="shared" si="8"/>
        <v>2A</v>
      </c>
      <c r="N36">
        <v>3</v>
      </c>
      <c r="O36" t="str">
        <f t="shared" si="9"/>
        <v>BUS-2A-3</v>
      </c>
      <c r="S36" t="s">
        <v>883</v>
      </c>
      <c r="T36" t="s">
        <v>731</v>
      </c>
      <c r="U36" t="s">
        <v>2280</v>
      </c>
      <c r="V36" t="s">
        <v>214</v>
      </c>
    </row>
    <row r="37" spans="1:22" x14ac:dyDescent="0.25">
      <c r="A37" t="s">
        <v>887</v>
      </c>
      <c r="B37" t="s">
        <v>731</v>
      </c>
      <c r="C37" t="s">
        <v>2284</v>
      </c>
      <c r="D37" t="s">
        <v>215</v>
      </c>
      <c r="J37" t="s">
        <v>3358</v>
      </c>
      <c r="K37">
        <v>2</v>
      </c>
      <c r="L37" t="s">
        <v>3321</v>
      </c>
      <c r="M37" t="str">
        <f t="shared" si="8"/>
        <v>2A</v>
      </c>
      <c r="N37">
        <v>4</v>
      </c>
      <c r="O37" t="str">
        <f t="shared" si="9"/>
        <v>BUS-2A-4</v>
      </c>
      <c r="S37" t="s">
        <v>887</v>
      </c>
      <c r="T37" t="s">
        <v>731</v>
      </c>
      <c r="U37" t="s">
        <v>2284</v>
      </c>
      <c r="V37" t="s">
        <v>215</v>
      </c>
    </row>
    <row r="38" spans="1:22" x14ac:dyDescent="0.25">
      <c r="A38" t="s">
        <v>891</v>
      </c>
      <c r="B38" t="s">
        <v>731</v>
      </c>
      <c r="C38" t="s">
        <v>2288</v>
      </c>
      <c r="D38" t="s">
        <v>216</v>
      </c>
      <c r="J38" t="s">
        <v>3358</v>
      </c>
      <c r="K38">
        <v>2</v>
      </c>
      <c r="L38" t="s">
        <v>3321</v>
      </c>
      <c r="M38" t="str">
        <f t="shared" si="8"/>
        <v>2A</v>
      </c>
      <c r="N38">
        <v>5</v>
      </c>
      <c r="O38" t="str">
        <f t="shared" si="9"/>
        <v>BUS-2A-5</v>
      </c>
      <c r="S38" t="s">
        <v>891</v>
      </c>
      <c r="T38" t="s">
        <v>731</v>
      </c>
      <c r="U38" t="s">
        <v>2288</v>
      </c>
      <c r="V38" t="s">
        <v>216</v>
      </c>
    </row>
    <row r="39" spans="1:22" x14ac:dyDescent="0.25">
      <c r="A39" t="s">
        <v>895</v>
      </c>
      <c r="B39" t="s">
        <v>731</v>
      </c>
      <c r="C39" t="s">
        <v>2292</v>
      </c>
      <c r="D39" t="s">
        <v>217</v>
      </c>
      <c r="J39" t="s">
        <v>3358</v>
      </c>
      <c r="K39">
        <v>2</v>
      </c>
      <c r="L39" t="s">
        <v>3321</v>
      </c>
      <c r="M39" t="str">
        <f t="shared" si="8"/>
        <v>2A</v>
      </c>
      <c r="N39">
        <v>6</v>
      </c>
      <c r="O39" t="str">
        <f t="shared" si="9"/>
        <v>BUS-2A-6</v>
      </c>
      <c r="S39" t="s">
        <v>895</v>
      </c>
      <c r="T39" t="s">
        <v>731</v>
      </c>
      <c r="U39" t="s">
        <v>2292</v>
      </c>
      <c r="V39" t="s">
        <v>217</v>
      </c>
    </row>
    <row r="40" spans="1:22" x14ac:dyDescent="0.25">
      <c r="A40" t="s">
        <v>872</v>
      </c>
      <c r="B40" t="s">
        <v>731</v>
      </c>
      <c r="C40" t="s">
        <v>2269</v>
      </c>
      <c r="D40" t="s">
        <v>218</v>
      </c>
      <c r="J40" t="s">
        <v>3358</v>
      </c>
      <c r="K40">
        <v>2</v>
      </c>
      <c r="L40" t="s">
        <v>3321</v>
      </c>
      <c r="M40" t="str">
        <f t="shared" si="8"/>
        <v>2A</v>
      </c>
      <c r="N40">
        <v>7</v>
      </c>
      <c r="O40" t="str">
        <f t="shared" si="9"/>
        <v>BUS-2A-7</v>
      </c>
      <c r="S40" t="s">
        <v>872</v>
      </c>
      <c r="T40" t="s">
        <v>731</v>
      </c>
      <c r="U40" t="s">
        <v>2269</v>
      </c>
      <c r="V40" t="s">
        <v>218</v>
      </c>
    </row>
    <row r="41" spans="1:22" x14ac:dyDescent="0.25">
      <c r="A41" t="s">
        <v>866</v>
      </c>
      <c r="B41" t="s">
        <v>731</v>
      </c>
      <c r="C41" t="s">
        <v>2263</v>
      </c>
      <c r="D41" t="s">
        <v>219</v>
      </c>
      <c r="J41" t="s">
        <v>3358</v>
      </c>
      <c r="K41">
        <v>2</v>
      </c>
      <c r="L41" t="s">
        <v>3321</v>
      </c>
      <c r="M41" t="str">
        <f t="shared" si="8"/>
        <v>2A</v>
      </c>
      <c r="N41">
        <v>8</v>
      </c>
      <c r="O41" t="str">
        <f t="shared" si="9"/>
        <v>BUS-2A-8</v>
      </c>
      <c r="S41" t="s">
        <v>866</v>
      </c>
      <c r="T41" t="s">
        <v>731</v>
      </c>
      <c r="U41" t="s">
        <v>2263</v>
      </c>
      <c r="V41" t="s">
        <v>219</v>
      </c>
    </row>
    <row r="42" spans="1:22" x14ac:dyDescent="0.25">
      <c r="A42" t="s">
        <v>875</v>
      </c>
      <c r="B42" t="s">
        <v>731</v>
      </c>
      <c r="C42" t="s">
        <v>2272</v>
      </c>
      <c r="D42" t="s">
        <v>229</v>
      </c>
      <c r="J42" t="s">
        <v>3358</v>
      </c>
      <c r="K42">
        <v>2</v>
      </c>
      <c r="L42" t="s">
        <v>3322</v>
      </c>
      <c r="M42" t="str">
        <f>K42&amp;L42</f>
        <v>2B</v>
      </c>
      <c r="N42">
        <v>1</v>
      </c>
      <c r="O42" t="str">
        <f>_xlfn.TEXTJOIN("-",TRUE,J42,M42,N42)</f>
        <v>BUS-2B-1</v>
      </c>
      <c r="S42" t="s">
        <v>875</v>
      </c>
      <c r="T42" t="s">
        <v>731</v>
      </c>
      <c r="U42" t="s">
        <v>2272</v>
      </c>
      <c r="V42" t="s">
        <v>229</v>
      </c>
    </row>
    <row r="43" spans="1:22" x14ac:dyDescent="0.25">
      <c r="A43" t="s">
        <v>879</v>
      </c>
      <c r="B43" t="s">
        <v>731</v>
      </c>
      <c r="C43" t="s">
        <v>2276</v>
      </c>
      <c r="D43" t="s">
        <v>230</v>
      </c>
      <c r="J43" t="s">
        <v>3358</v>
      </c>
      <c r="K43">
        <v>2</v>
      </c>
      <c r="L43" t="s">
        <v>3322</v>
      </c>
      <c r="M43" t="str">
        <f t="shared" ref="M43:M49" si="10">K43&amp;L43</f>
        <v>2B</v>
      </c>
      <c r="N43">
        <v>2</v>
      </c>
      <c r="O43" t="str">
        <f t="shared" ref="O43:O49" si="11">_xlfn.TEXTJOIN("-",TRUE,J43,M43,N43)</f>
        <v>BUS-2B-2</v>
      </c>
      <c r="S43" t="s">
        <v>879</v>
      </c>
      <c r="T43" t="s">
        <v>731</v>
      </c>
      <c r="U43" t="s">
        <v>2276</v>
      </c>
      <c r="V43" t="s">
        <v>230</v>
      </c>
    </row>
    <row r="44" spans="1:22" x14ac:dyDescent="0.25">
      <c r="A44" t="s">
        <v>884</v>
      </c>
      <c r="B44" t="s">
        <v>731</v>
      </c>
      <c r="C44" t="s">
        <v>2281</v>
      </c>
      <c r="D44" t="s">
        <v>231</v>
      </c>
      <c r="J44" t="s">
        <v>3358</v>
      </c>
      <c r="K44">
        <v>2</v>
      </c>
      <c r="L44" t="s">
        <v>3322</v>
      </c>
      <c r="M44" t="str">
        <f t="shared" si="10"/>
        <v>2B</v>
      </c>
      <c r="N44">
        <v>3</v>
      </c>
      <c r="O44" t="str">
        <f t="shared" si="11"/>
        <v>BUS-2B-3</v>
      </c>
      <c r="S44" t="s">
        <v>884</v>
      </c>
      <c r="T44" t="s">
        <v>731</v>
      </c>
      <c r="U44" t="s">
        <v>2281</v>
      </c>
      <c r="V44" t="s">
        <v>231</v>
      </c>
    </row>
    <row r="45" spans="1:22" x14ac:dyDescent="0.25">
      <c r="A45" t="s">
        <v>888</v>
      </c>
      <c r="B45" t="s">
        <v>731</v>
      </c>
      <c r="C45" t="s">
        <v>2285</v>
      </c>
      <c r="D45" t="s">
        <v>232</v>
      </c>
      <c r="J45" t="s">
        <v>3358</v>
      </c>
      <c r="K45">
        <v>2</v>
      </c>
      <c r="L45" t="s">
        <v>3322</v>
      </c>
      <c r="M45" t="str">
        <f t="shared" si="10"/>
        <v>2B</v>
      </c>
      <c r="N45">
        <v>4</v>
      </c>
      <c r="O45" t="str">
        <f t="shared" si="11"/>
        <v>BUS-2B-4</v>
      </c>
      <c r="S45" t="s">
        <v>888</v>
      </c>
      <c r="T45" t="s">
        <v>731</v>
      </c>
      <c r="U45" t="s">
        <v>2285</v>
      </c>
      <c r="V45" t="s">
        <v>232</v>
      </c>
    </row>
    <row r="46" spans="1:22" x14ac:dyDescent="0.25">
      <c r="A46" t="s">
        <v>892</v>
      </c>
      <c r="B46" t="s">
        <v>731</v>
      </c>
      <c r="C46" t="s">
        <v>2289</v>
      </c>
      <c r="D46" t="s">
        <v>233</v>
      </c>
      <c r="J46" t="s">
        <v>3358</v>
      </c>
      <c r="K46">
        <v>2</v>
      </c>
      <c r="L46" t="s">
        <v>3322</v>
      </c>
      <c r="M46" t="str">
        <f t="shared" si="10"/>
        <v>2B</v>
      </c>
      <c r="N46">
        <v>5</v>
      </c>
      <c r="O46" t="str">
        <f t="shared" si="11"/>
        <v>BUS-2B-5</v>
      </c>
      <c r="S46" t="s">
        <v>892</v>
      </c>
      <c r="T46" t="s">
        <v>731</v>
      </c>
      <c r="U46" t="s">
        <v>2289</v>
      </c>
      <c r="V46" t="s">
        <v>233</v>
      </c>
    </row>
    <row r="47" spans="1:22" x14ac:dyDescent="0.25">
      <c r="A47" t="s">
        <v>896</v>
      </c>
      <c r="B47" t="s">
        <v>731</v>
      </c>
      <c r="C47" t="s">
        <v>2293</v>
      </c>
      <c r="D47" t="s">
        <v>234</v>
      </c>
      <c r="J47" t="s">
        <v>3358</v>
      </c>
      <c r="K47">
        <v>2</v>
      </c>
      <c r="L47" t="s">
        <v>3322</v>
      </c>
      <c r="M47" t="str">
        <f t="shared" si="10"/>
        <v>2B</v>
      </c>
      <c r="N47">
        <v>6</v>
      </c>
      <c r="O47" t="str">
        <f t="shared" si="11"/>
        <v>BUS-2B-6</v>
      </c>
      <c r="S47" t="s">
        <v>896</v>
      </c>
      <c r="T47" t="s">
        <v>731</v>
      </c>
      <c r="U47" t="s">
        <v>2293</v>
      </c>
      <c r="V47" t="s">
        <v>234</v>
      </c>
    </row>
    <row r="48" spans="1:22" x14ac:dyDescent="0.25">
      <c r="A48" t="s">
        <v>870</v>
      </c>
      <c r="B48" t="s">
        <v>731</v>
      </c>
      <c r="C48" t="s">
        <v>2267</v>
      </c>
      <c r="D48" t="s">
        <v>235</v>
      </c>
      <c r="J48" t="s">
        <v>3358</v>
      </c>
      <c r="K48">
        <v>2</v>
      </c>
      <c r="L48" t="s">
        <v>3322</v>
      </c>
      <c r="M48" t="str">
        <f t="shared" si="10"/>
        <v>2B</v>
      </c>
      <c r="N48">
        <v>7</v>
      </c>
      <c r="O48" t="str">
        <f t="shared" si="11"/>
        <v>BUS-2B-7</v>
      </c>
      <c r="S48" t="s">
        <v>870</v>
      </c>
      <c r="T48" t="s">
        <v>731</v>
      </c>
      <c r="U48" t="s">
        <v>2267</v>
      </c>
      <c r="V48" t="s">
        <v>235</v>
      </c>
    </row>
    <row r="49" spans="1:22" x14ac:dyDescent="0.25">
      <c r="A49" t="s">
        <v>867</v>
      </c>
      <c r="B49" t="s">
        <v>731</v>
      </c>
      <c r="C49" t="s">
        <v>2264</v>
      </c>
      <c r="D49" t="s">
        <v>236</v>
      </c>
      <c r="J49" t="s">
        <v>3358</v>
      </c>
      <c r="K49">
        <v>2</v>
      </c>
      <c r="L49" t="s">
        <v>3322</v>
      </c>
      <c r="M49" t="str">
        <f t="shared" si="10"/>
        <v>2B</v>
      </c>
      <c r="N49">
        <v>8</v>
      </c>
      <c r="O49" t="str">
        <f t="shared" si="11"/>
        <v>BUS-2B-8</v>
      </c>
      <c r="S49" t="s">
        <v>867</v>
      </c>
      <c r="T49" t="s">
        <v>731</v>
      </c>
      <c r="U49" t="s">
        <v>2264</v>
      </c>
      <c r="V49" t="s">
        <v>236</v>
      </c>
    </row>
    <row r="50" spans="1:22" x14ac:dyDescent="0.25">
      <c r="A50" t="s">
        <v>876</v>
      </c>
      <c r="B50" t="s">
        <v>731</v>
      </c>
      <c r="C50" t="s">
        <v>2273</v>
      </c>
      <c r="D50" t="s">
        <v>246</v>
      </c>
      <c r="J50" t="s">
        <v>3358</v>
      </c>
      <c r="K50">
        <v>2</v>
      </c>
      <c r="L50" t="s">
        <v>3323</v>
      </c>
      <c r="M50" t="str">
        <f>K50&amp;L50</f>
        <v>2C</v>
      </c>
      <c r="N50">
        <v>1</v>
      </c>
      <c r="O50" t="str">
        <f>_xlfn.TEXTJOIN("-",TRUE,J50,M50,N50)</f>
        <v>BUS-2C-1</v>
      </c>
      <c r="S50" t="s">
        <v>876</v>
      </c>
      <c r="T50" t="s">
        <v>731</v>
      </c>
      <c r="U50" t="s">
        <v>2273</v>
      </c>
      <c r="V50" t="s">
        <v>246</v>
      </c>
    </row>
    <row r="51" spans="1:22" x14ac:dyDescent="0.25">
      <c r="A51" t="s">
        <v>880</v>
      </c>
      <c r="B51" t="s">
        <v>731</v>
      </c>
      <c r="C51" t="s">
        <v>2277</v>
      </c>
      <c r="D51" t="s">
        <v>247</v>
      </c>
      <c r="J51" t="s">
        <v>3358</v>
      </c>
      <c r="K51">
        <v>2</v>
      </c>
      <c r="L51" t="s">
        <v>3323</v>
      </c>
      <c r="M51" t="str">
        <f t="shared" ref="M51:M57" si="12">K51&amp;L51</f>
        <v>2C</v>
      </c>
      <c r="N51">
        <v>2</v>
      </c>
      <c r="O51" t="str">
        <f t="shared" ref="O51:O57" si="13">_xlfn.TEXTJOIN("-",TRUE,J51,M51,N51)</f>
        <v>BUS-2C-2</v>
      </c>
      <c r="S51" t="s">
        <v>880</v>
      </c>
      <c r="T51" t="s">
        <v>731</v>
      </c>
      <c r="U51" t="s">
        <v>2277</v>
      </c>
      <c r="V51" t="s">
        <v>247</v>
      </c>
    </row>
    <row r="52" spans="1:22" x14ac:dyDescent="0.25">
      <c r="A52" t="s">
        <v>885</v>
      </c>
      <c r="B52" t="s">
        <v>731</v>
      </c>
      <c r="C52" t="s">
        <v>2282</v>
      </c>
      <c r="D52" t="s">
        <v>248</v>
      </c>
      <c r="J52" t="s">
        <v>3358</v>
      </c>
      <c r="K52">
        <v>2</v>
      </c>
      <c r="L52" t="s">
        <v>3323</v>
      </c>
      <c r="M52" t="str">
        <f t="shared" si="12"/>
        <v>2C</v>
      </c>
      <c r="N52">
        <v>3</v>
      </c>
      <c r="O52" t="str">
        <f t="shared" si="13"/>
        <v>BUS-2C-3</v>
      </c>
      <c r="S52" t="s">
        <v>885</v>
      </c>
      <c r="T52" t="s">
        <v>731</v>
      </c>
      <c r="U52" t="s">
        <v>2282</v>
      </c>
      <c r="V52" t="s">
        <v>248</v>
      </c>
    </row>
    <row r="53" spans="1:22" x14ac:dyDescent="0.25">
      <c r="A53" t="s">
        <v>889</v>
      </c>
      <c r="B53" t="s">
        <v>731</v>
      </c>
      <c r="C53" t="s">
        <v>2286</v>
      </c>
      <c r="D53" t="s">
        <v>249</v>
      </c>
      <c r="J53" t="s">
        <v>3358</v>
      </c>
      <c r="K53">
        <v>2</v>
      </c>
      <c r="L53" t="s">
        <v>3323</v>
      </c>
      <c r="M53" t="str">
        <f t="shared" si="12"/>
        <v>2C</v>
      </c>
      <c r="N53">
        <v>4</v>
      </c>
      <c r="O53" t="str">
        <f t="shared" si="13"/>
        <v>BUS-2C-4</v>
      </c>
      <c r="S53" t="s">
        <v>889</v>
      </c>
      <c r="T53" t="s">
        <v>731</v>
      </c>
      <c r="U53" t="s">
        <v>2286</v>
      </c>
      <c r="V53" t="s">
        <v>249</v>
      </c>
    </row>
    <row r="54" spans="1:22" x14ac:dyDescent="0.25">
      <c r="A54" t="s">
        <v>893</v>
      </c>
      <c r="B54" t="s">
        <v>731</v>
      </c>
      <c r="C54" t="s">
        <v>2290</v>
      </c>
      <c r="D54" t="s">
        <v>250</v>
      </c>
      <c r="J54" t="s">
        <v>3358</v>
      </c>
      <c r="K54">
        <v>2</v>
      </c>
      <c r="L54" t="s">
        <v>3323</v>
      </c>
      <c r="M54" t="str">
        <f t="shared" si="12"/>
        <v>2C</v>
      </c>
      <c r="N54">
        <v>5</v>
      </c>
      <c r="O54" t="str">
        <f t="shared" si="13"/>
        <v>BUS-2C-5</v>
      </c>
      <c r="S54" t="s">
        <v>893</v>
      </c>
      <c r="T54" t="s">
        <v>731</v>
      </c>
      <c r="U54" t="s">
        <v>2290</v>
      </c>
      <c r="V54" t="s">
        <v>250</v>
      </c>
    </row>
    <row r="55" spans="1:22" x14ac:dyDescent="0.25">
      <c r="A55" t="s">
        <v>897</v>
      </c>
      <c r="B55" t="s">
        <v>731</v>
      </c>
      <c r="C55" t="s">
        <v>2294</v>
      </c>
      <c r="D55" t="s">
        <v>251</v>
      </c>
      <c r="J55" t="s">
        <v>3358</v>
      </c>
      <c r="K55">
        <v>2</v>
      </c>
      <c r="L55" t="s">
        <v>3323</v>
      </c>
      <c r="M55" t="str">
        <f t="shared" si="12"/>
        <v>2C</v>
      </c>
      <c r="N55">
        <v>6</v>
      </c>
      <c r="O55" t="str">
        <f t="shared" si="13"/>
        <v>BUS-2C-6</v>
      </c>
      <c r="S55" t="s">
        <v>897</v>
      </c>
      <c r="T55" t="s">
        <v>731</v>
      </c>
      <c r="U55" t="s">
        <v>2294</v>
      </c>
      <c r="V55" t="s">
        <v>251</v>
      </c>
    </row>
    <row r="56" spans="1:22" x14ac:dyDescent="0.25">
      <c r="A56" t="s">
        <v>871</v>
      </c>
      <c r="B56" t="s">
        <v>731</v>
      </c>
      <c r="C56" t="s">
        <v>2268</v>
      </c>
      <c r="D56" t="s">
        <v>252</v>
      </c>
      <c r="J56" t="s">
        <v>3358</v>
      </c>
      <c r="K56">
        <v>2</v>
      </c>
      <c r="L56" t="s">
        <v>3323</v>
      </c>
      <c r="M56" t="str">
        <f t="shared" si="12"/>
        <v>2C</v>
      </c>
      <c r="N56">
        <v>7</v>
      </c>
      <c r="O56" t="str">
        <f t="shared" si="13"/>
        <v>BUS-2C-7</v>
      </c>
      <c r="S56" t="s">
        <v>871</v>
      </c>
      <c r="T56" t="s">
        <v>731</v>
      </c>
      <c r="U56" t="s">
        <v>2268</v>
      </c>
      <c r="V56" t="s">
        <v>252</v>
      </c>
    </row>
    <row r="57" spans="1:22" x14ac:dyDescent="0.25">
      <c r="A57" t="s">
        <v>868</v>
      </c>
      <c r="B57" t="s">
        <v>731</v>
      </c>
      <c r="C57" t="s">
        <v>2265</v>
      </c>
      <c r="D57" t="s">
        <v>253</v>
      </c>
      <c r="J57" t="s">
        <v>3358</v>
      </c>
      <c r="K57">
        <v>2</v>
      </c>
      <c r="L57" t="s">
        <v>3323</v>
      </c>
      <c r="M57" t="str">
        <f t="shared" si="12"/>
        <v>2C</v>
      </c>
      <c r="N57">
        <v>8</v>
      </c>
      <c r="O57" t="str">
        <f t="shared" si="13"/>
        <v>BUS-2C-8</v>
      </c>
      <c r="S57" t="s">
        <v>868</v>
      </c>
      <c r="T57" t="s">
        <v>731</v>
      </c>
      <c r="U57" t="s">
        <v>2265</v>
      </c>
      <c r="V57" t="s">
        <v>253</v>
      </c>
    </row>
    <row r="58" spans="1:22" x14ac:dyDescent="0.25">
      <c r="A58" t="s">
        <v>877</v>
      </c>
      <c r="B58" t="s">
        <v>731</v>
      </c>
      <c r="C58" t="s">
        <v>2274</v>
      </c>
      <c r="D58" t="s">
        <v>263</v>
      </c>
      <c r="J58" t="s">
        <v>3358</v>
      </c>
      <c r="K58">
        <v>2</v>
      </c>
      <c r="L58" t="s">
        <v>3324</v>
      </c>
      <c r="M58" t="str">
        <f>K58&amp;L58</f>
        <v>2D</v>
      </c>
      <c r="N58">
        <v>1</v>
      </c>
      <c r="O58" t="str">
        <f>_xlfn.TEXTJOIN("-",TRUE,J58,M58,N58)</f>
        <v>BUS-2D-1</v>
      </c>
      <c r="S58" t="s">
        <v>877</v>
      </c>
      <c r="T58" t="s">
        <v>731</v>
      </c>
      <c r="U58" t="s">
        <v>2274</v>
      </c>
      <c r="V58" t="s">
        <v>263</v>
      </c>
    </row>
    <row r="59" spans="1:22" x14ac:dyDescent="0.25">
      <c r="A59" t="s">
        <v>881</v>
      </c>
      <c r="B59" t="s">
        <v>731</v>
      </c>
      <c r="C59" t="s">
        <v>2278</v>
      </c>
      <c r="D59" t="s">
        <v>264</v>
      </c>
      <c r="J59" t="s">
        <v>3358</v>
      </c>
      <c r="K59">
        <v>2</v>
      </c>
      <c r="L59" t="s">
        <v>3324</v>
      </c>
      <c r="M59" t="str">
        <f t="shared" ref="M59:M65" si="14">K59&amp;L59</f>
        <v>2D</v>
      </c>
      <c r="N59">
        <v>2</v>
      </c>
      <c r="O59" t="str">
        <f t="shared" ref="O59:O65" si="15">_xlfn.TEXTJOIN("-",TRUE,J59,M59,N59)</f>
        <v>BUS-2D-2</v>
      </c>
      <c r="S59" t="s">
        <v>881</v>
      </c>
      <c r="T59" t="s">
        <v>731</v>
      </c>
      <c r="U59" t="s">
        <v>2278</v>
      </c>
      <c r="V59" t="s">
        <v>264</v>
      </c>
    </row>
    <row r="60" spans="1:22" x14ac:dyDescent="0.25">
      <c r="A60" t="s">
        <v>886</v>
      </c>
      <c r="B60" t="s">
        <v>731</v>
      </c>
      <c r="C60" t="s">
        <v>2283</v>
      </c>
      <c r="D60" t="s">
        <v>265</v>
      </c>
      <c r="J60" t="s">
        <v>3358</v>
      </c>
      <c r="K60">
        <v>2</v>
      </c>
      <c r="L60" t="s">
        <v>3324</v>
      </c>
      <c r="M60" t="str">
        <f t="shared" si="14"/>
        <v>2D</v>
      </c>
      <c r="N60">
        <v>3</v>
      </c>
      <c r="O60" t="str">
        <f t="shared" si="15"/>
        <v>BUS-2D-3</v>
      </c>
      <c r="S60" t="s">
        <v>886</v>
      </c>
      <c r="T60" t="s">
        <v>731</v>
      </c>
      <c r="U60" t="s">
        <v>2283</v>
      </c>
      <c r="V60" t="s">
        <v>265</v>
      </c>
    </row>
    <row r="61" spans="1:22" x14ac:dyDescent="0.25">
      <c r="A61" t="s">
        <v>890</v>
      </c>
      <c r="B61" t="s">
        <v>731</v>
      </c>
      <c r="C61" t="s">
        <v>2287</v>
      </c>
      <c r="D61" t="s">
        <v>266</v>
      </c>
      <c r="J61" t="s">
        <v>3358</v>
      </c>
      <c r="K61">
        <v>2</v>
      </c>
      <c r="L61" t="s">
        <v>3324</v>
      </c>
      <c r="M61" t="str">
        <f t="shared" si="14"/>
        <v>2D</v>
      </c>
      <c r="N61">
        <v>4</v>
      </c>
      <c r="O61" t="str">
        <f t="shared" si="15"/>
        <v>BUS-2D-4</v>
      </c>
      <c r="S61" t="s">
        <v>890</v>
      </c>
      <c r="T61" t="s">
        <v>731</v>
      </c>
      <c r="U61" t="s">
        <v>2287</v>
      </c>
      <c r="V61" t="s">
        <v>266</v>
      </c>
    </row>
    <row r="62" spans="1:22" x14ac:dyDescent="0.25">
      <c r="A62" t="s">
        <v>894</v>
      </c>
      <c r="B62" t="s">
        <v>731</v>
      </c>
      <c r="C62" t="s">
        <v>2291</v>
      </c>
      <c r="D62" t="s">
        <v>267</v>
      </c>
      <c r="J62" t="s">
        <v>3358</v>
      </c>
      <c r="K62">
        <v>2</v>
      </c>
      <c r="L62" t="s">
        <v>3324</v>
      </c>
      <c r="M62" t="str">
        <f t="shared" si="14"/>
        <v>2D</v>
      </c>
      <c r="N62">
        <v>5</v>
      </c>
      <c r="O62" t="str">
        <f t="shared" si="15"/>
        <v>BUS-2D-5</v>
      </c>
      <c r="S62" t="s">
        <v>894</v>
      </c>
      <c r="T62" t="s">
        <v>731</v>
      </c>
      <c r="U62" t="s">
        <v>2291</v>
      </c>
      <c r="V62" t="s">
        <v>267</v>
      </c>
    </row>
    <row r="63" spans="1:22" x14ac:dyDescent="0.25">
      <c r="A63" t="s">
        <v>898</v>
      </c>
      <c r="B63" t="s">
        <v>731</v>
      </c>
      <c r="C63" t="s">
        <v>2295</v>
      </c>
      <c r="D63" t="s">
        <v>268</v>
      </c>
      <c r="J63" t="s">
        <v>3358</v>
      </c>
      <c r="K63">
        <v>2</v>
      </c>
      <c r="L63" t="s">
        <v>3324</v>
      </c>
      <c r="M63" t="str">
        <f t="shared" si="14"/>
        <v>2D</v>
      </c>
      <c r="N63">
        <v>6</v>
      </c>
      <c r="O63" t="str">
        <f t="shared" si="15"/>
        <v>BUS-2D-6</v>
      </c>
      <c r="S63" t="s">
        <v>898</v>
      </c>
      <c r="T63" t="s">
        <v>731</v>
      </c>
      <c r="U63" t="s">
        <v>2295</v>
      </c>
      <c r="V63" t="s">
        <v>268</v>
      </c>
    </row>
    <row r="64" spans="1:22" x14ac:dyDescent="0.25">
      <c r="A64" t="s">
        <v>873</v>
      </c>
      <c r="B64" t="s">
        <v>731</v>
      </c>
      <c r="C64" t="s">
        <v>2270</v>
      </c>
      <c r="D64" t="s">
        <v>269</v>
      </c>
      <c r="J64" t="s">
        <v>3358</v>
      </c>
      <c r="K64">
        <v>2</v>
      </c>
      <c r="L64" t="s">
        <v>3324</v>
      </c>
      <c r="M64" t="str">
        <f t="shared" si="14"/>
        <v>2D</v>
      </c>
      <c r="N64">
        <v>7</v>
      </c>
      <c r="O64" t="str">
        <f t="shared" si="15"/>
        <v>BUS-2D-7</v>
      </c>
      <c r="S64" t="s">
        <v>873</v>
      </c>
      <c r="T64" t="s">
        <v>731</v>
      </c>
      <c r="U64" t="s">
        <v>2270</v>
      </c>
      <c r="V64" t="s">
        <v>269</v>
      </c>
    </row>
    <row r="65" spans="1:22" x14ac:dyDescent="0.25">
      <c r="A65" t="s">
        <v>869</v>
      </c>
      <c r="B65" t="s">
        <v>731</v>
      </c>
      <c r="C65" t="s">
        <v>2266</v>
      </c>
      <c r="D65" t="s">
        <v>270</v>
      </c>
      <c r="J65" t="s">
        <v>3358</v>
      </c>
      <c r="K65">
        <v>2</v>
      </c>
      <c r="L65" t="s">
        <v>3324</v>
      </c>
      <c r="M65" t="str">
        <f t="shared" si="14"/>
        <v>2D</v>
      </c>
      <c r="N65">
        <v>8</v>
      </c>
      <c r="O65" t="str">
        <f t="shared" si="15"/>
        <v>BUS-2D-8</v>
      </c>
      <c r="S65" t="s">
        <v>869</v>
      </c>
      <c r="T65" t="s">
        <v>731</v>
      </c>
      <c r="U65" t="s">
        <v>2266</v>
      </c>
      <c r="V65" t="s">
        <v>270</v>
      </c>
    </row>
    <row r="66" spans="1:22" x14ac:dyDescent="0.25">
      <c r="A66" t="s">
        <v>751</v>
      </c>
      <c r="B66" t="s">
        <v>731</v>
      </c>
      <c r="C66" t="s">
        <v>2101</v>
      </c>
      <c r="D66" t="s">
        <v>433</v>
      </c>
      <c r="J66" t="s">
        <v>3358</v>
      </c>
      <c r="K66">
        <v>3</v>
      </c>
      <c r="L66" t="s">
        <v>3321</v>
      </c>
      <c r="M66" t="str">
        <f>K66&amp;L66</f>
        <v>3A</v>
      </c>
      <c r="N66">
        <v>1</v>
      </c>
      <c r="O66" t="str">
        <f>_xlfn.TEXTJOIN("-",TRUE,J66,M66,N66)</f>
        <v>BUS-3A-1</v>
      </c>
      <c r="S66" t="s">
        <v>751</v>
      </c>
      <c r="T66" t="s">
        <v>731</v>
      </c>
      <c r="U66" t="s">
        <v>2101</v>
      </c>
      <c r="V66" t="s">
        <v>433</v>
      </c>
    </row>
    <row r="67" spans="1:22" x14ac:dyDescent="0.25">
      <c r="A67" t="s">
        <v>755</v>
      </c>
      <c r="B67" t="s">
        <v>731</v>
      </c>
      <c r="C67" t="s">
        <v>2105</v>
      </c>
      <c r="D67" t="s">
        <v>434</v>
      </c>
      <c r="J67" t="s">
        <v>3358</v>
      </c>
      <c r="K67">
        <v>3</v>
      </c>
      <c r="L67" t="s">
        <v>3321</v>
      </c>
      <c r="M67" t="str">
        <f t="shared" ref="M67:M73" si="16">K67&amp;L67</f>
        <v>3A</v>
      </c>
      <c r="N67">
        <v>2</v>
      </c>
      <c r="O67" t="str">
        <f t="shared" ref="O67:O73" si="17">_xlfn.TEXTJOIN("-",TRUE,J67,M67,N67)</f>
        <v>BUS-3A-2</v>
      </c>
      <c r="S67" t="s">
        <v>755</v>
      </c>
      <c r="T67" t="s">
        <v>731</v>
      </c>
      <c r="U67" t="s">
        <v>2105</v>
      </c>
      <c r="V67" t="s">
        <v>434</v>
      </c>
    </row>
    <row r="68" spans="1:22" x14ac:dyDescent="0.25">
      <c r="A68" t="s">
        <v>816</v>
      </c>
      <c r="B68" t="s">
        <v>731</v>
      </c>
      <c r="C68" t="s">
        <v>2174</v>
      </c>
      <c r="D68" t="s">
        <v>435</v>
      </c>
      <c r="J68" t="s">
        <v>3358</v>
      </c>
      <c r="K68">
        <v>3</v>
      </c>
      <c r="L68" t="s">
        <v>3321</v>
      </c>
      <c r="M68" t="str">
        <f t="shared" si="16"/>
        <v>3A</v>
      </c>
      <c r="N68">
        <v>3</v>
      </c>
      <c r="O68" t="str">
        <f t="shared" si="17"/>
        <v>BUS-3A-3</v>
      </c>
      <c r="S68" t="s">
        <v>816</v>
      </c>
      <c r="T68" t="s">
        <v>731</v>
      </c>
      <c r="U68" t="s">
        <v>2174</v>
      </c>
      <c r="V68" t="s">
        <v>435</v>
      </c>
    </row>
    <row r="69" spans="1:22" x14ac:dyDescent="0.25">
      <c r="A69" t="s">
        <v>809</v>
      </c>
      <c r="B69" t="s">
        <v>731</v>
      </c>
      <c r="C69" t="s">
        <v>2167</v>
      </c>
      <c r="D69" t="s">
        <v>436</v>
      </c>
      <c r="J69" t="s">
        <v>3358</v>
      </c>
      <c r="K69">
        <v>3</v>
      </c>
      <c r="L69" t="s">
        <v>3321</v>
      </c>
      <c r="M69" t="str">
        <f t="shared" si="16"/>
        <v>3A</v>
      </c>
      <c r="N69">
        <v>4</v>
      </c>
      <c r="O69" t="str">
        <f t="shared" si="17"/>
        <v>BUS-3A-4</v>
      </c>
      <c r="S69" t="s">
        <v>809</v>
      </c>
      <c r="T69" t="s">
        <v>731</v>
      </c>
      <c r="U69" t="s">
        <v>2167</v>
      </c>
      <c r="V69" t="s">
        <v>436</v>
      </c>
    </row>
    <row r="70" spans="1:22" x14ac:dyDescent="0.25">
      <c r="A70" t="s">
        <v>820</v>
      </c>
      <c r="B70" t="s">
        <v>731</v>
      </c>
      <c r="C70" t="s">
        <v>2178</v>
      </c>
      <c r="D70" t="s">
        <v>437</v>
      </c>
      <c r="J70" t="s">
        <v>3358</v>
      </c>
      <c r="K70">
        <v>3</v>
      </c>
      <c r="L70" t="s">
        <v>3321</v>
      </c>
      <c r="M70" t="str">
        <f t="shared" si="16"/>
        <v>3A</v>
      </c>
      <c r="N70">
        <v>5</v>
      </c>
      <c r="O70" t="str">
        <f t="shared" si="17"/>
        <v>BUS-3A-5</v>
      </c>
      <c r="S70" t="s">
        <v>820</v>
      </c>
      <c r="T70" t="s">
        <v>731</v>
      </c>
      <c r="U70" t="s">
        <v>2178</v>
      </c>
      <c r="V70" t="s">
        <v>437</v>
      </c>
    </row>
    <row r="71" spans="1:22" x14ac:dyDescent="0.25">
      <c r="A71" t="s">
        <v>814</v>
      </c>
      <c r="B71" t="s">
        <v>731</v>
      </c>
      <c r="C71" t="s">
        <v>2172</v>
      </c>
      <c r="D71" t="s">
        <v>438</v>
      </c>
      <c r="J71" t="s">
        <v>3358</v>
      </c>
      <c r="K71">
        <v>3</v>
      </c>
      <c r="L71" t="s">
        <v>3321</v>
      </c>
      <c r="M71" t="str">
        <f t="shared" si="16"/>
        <v>3A</v>
      </c>
      <c r="N71">
        <v>6</v>
      </c>
      <c r="O71" t="str">
        <f t="shared" si="17"/>
        <v>BUS-3A-6</v>
      </c>
      <c r="S71" t="s">
        <v>814</v>
      </c>
      <c r="T71" t="s">
        <v>731</v>
      </c>
      <c r="U71" t="s">
        <v>2172</v>
      </c>
      <c r="V71" t="s">
        <v>438</v>
      </c>
    </row>
    <row r="72" spans="1:22" x14ac:dyDescent="0.25">
      <c r="A72" t="s">
        <v>860</v>
      </c>
      <c r="B72" t="s">
        <v>731</v>
      </c>
      <c r="C72" t="s">
        <v>2257</v>
      </c>
      <c r="D72" t="s">
        <v>439</v>
      </c>
      <c r="J72" t="s">
        <v>3358</v>
      </c>
      <c r="K72">
        <v>3</v>
      </c>
      <c r="L72" t="s">
        <v>3321</v>
      </c>
      <c r="M72" t="str">
        <f t="shared" si="16"/>
        <v>3A</v>
      </c>
      <c r="N72">
        <v>7</v>
      </c>
      <c r="O72" t="str">
        <f t="shared" si="17"/>
        <v>BUS-3A-7</v>
      </c>
      <c r="S72" t="s">
        <v>860</v>
      </c>
      <c r="T72" t="s">
        <v>731</v>
      </c>
      <c r="U72" t="s">
        <v>2257</v>
      </c>
      <c r="V72" t="s">
        <v>439</v>
      </c>
    </row>
    <row r="73" spans="1:22" x14ac:dyDescent="0.25">
      <c r="A73" t="s">
        <v>781</v>
      </c>
      <c r="B73" t="s">
        <v>731</v>
      </c>
      <c r="C73" t="s">
        <v>2131</v>
      </c>
      <c r="D73" t="s">
        <v>440</v>
      </c>
      <c r="J73" t="s">
        <v>3358</v>
      </c>
      <c r="K73">
        <v>3</v>
      </c>
      <c r="L73" t="s">
        <v>3321</v>
      </c>
      <c r="M73" t="str">
        <f t="shared" si="16"/>
        <v>3A</v>
      </c>
      <c r="N73">
        <v>8</v>
      </c>
      <c r="O73" t="str">
        <f t="shared" si="17"/>
        <v>BUS-3A-8</v>
      </c>
      <c r="S73" t="s">
        <v>781</v>
      </c>
      <c r="T73" t="s">
        <v>731</v>
      </c>
      <c r="U73" t="s">
        <v>2131</v>
      </c>
      <c r="V73" t="s">
        <v>440</v>
      </c>
    </row>
    <row r="74" spans="1:22" x14ac:dyDescent="0.25">
      <c r="A74" t="s">
        <v>752</v>
      </c>
      <c r="B74" t="s">
        <v>731</v>
      </c>
      <c r="C74" t="s">
        <v>2102</v>
      </c>
      <c r="D74" t="s">
        <v>450</v>
      </c>
      <c r="J74" t="s">
        <v>3358</v>
      </c>
      <c r="K74">
        <v>3</v>
      </c>
      <c r="L74" t="s">
        <v>3322</v>
      </c>
      <c r="M74" t="str">
        <f>K74&amp;L74</f>
        <v>3B</v>
      </c>
      <c r="N74">
        <v>1</v>
      </c>
      <c r="O74" t="str">
        <f>_xlfn.TEXTJOIN("-",TRUE,J74,M74,N74)</f>
        <v>BUS-3B-1</v>
      </c>
      <c r="S74" t="s">
        <v>752</v>
      </c>
      <c r="T74" t="s">
        <v>731</v>
      </c>
      <c r="U74" t="s">
        <v>2102</v>
      </c>
      <c r="V74" t="s">
        <v>450</v>
      </c>
    </row>
    <row r="75" spans="1:22" x14ac:dyDescent="0.25">
      <c r="A75" t="s">
        <v>756</v>
      </c>
      <c r="B75" t="s">
        <v>731</v>
      </c>
      <c r="C75" t="s">
        <v>2106</v>
      </c>
      <c r="D75" t="s">
        <v>451</v>
      </c>
      <c r="J75" t="s">
        <v>3358</v>
      </c>
      <c r="K75">
        <v>3</v>
      </c>
      <c r="L75" t="s">
        <v>3322</v>
      </c>
      <c r="M75" t="str">
        <f t="shared" ref="M75:M81" si="18">K75&amp;L75</f>
        <v>3B</v>
      </c>
      <c r="N75">
        <v>2</v>
      </c>
      <c r="O75" t="str">
        <f t="shared" ref="O75:O81" si="19">_xlfn.TEXTJOIN("-",TRUE,J75,M75,N75)</f>
        <v>BUS-3B-2</v>
      </c>
      <c r="S75" t="s">
        <v>756</v>
      </c>
      <c r="T75" t="s">
        <v>731</v>
      </c>
      <c r="U75" t="s">
        <v>2106</v>
      </c>
      <c r="V75" t="s">
        <v>451</v>
      </c>
    </row>
    <row r="76" spans="1:22" x14ac:dyDescent="0.25">
      <c r="A76" t="s">
        <v>817</v>
      </c>
      <c r="B76" t="s">
        <v>731</v>
      </c>
      <c r="C76" t="s">
        <v>2175</v>
      </c>
      <c r="D76" t="s">
        <v>452</v>
      </c>
      <c r="J76" t="s">
        <v>3358</v>
      </c>
      <c r="K76">
        <v>3</v>
      </c>
      <c r="L76" t="s">
        <v>3322</v>
      </c>
      <c r="M76" t="str">
        <f t="shared" si="18"/>
        <v>3B</v>
      </c>
      <c r="N76">
        <v>3</v>
      </c>
      <c r="O76" t="str">
        <f t="shared" si="19"/>
        <v>BUS-3B-3</v>
      </c>
      <c r="S76" t="s">
        <v>817</v>
      </c>
      <c r="T76" t="s">
        <v>731</v>
      </c>
      <c r="U76" t="s">
        <v>2175</v>
      </c>
      <c r="V76" t="s">
        <v>452</v>
      </c>
    </row>
    <row r="77" spans="1:22" x14ac:dyDescent="0.25">
      <c r="A77" t="s">
        <v>810</v>
      </c>
      <c r="B77" t="s">
        <v>731</v>
      </c>
      <c r="C77" t="s">
        <v>2168</v>
      </c>
      <c r="D77" t="s">
        <v>453</v>
      </c>
      <c r="J77" t="s">
        <v>3358</v>
      </c>
      <c r="K77">
        <v>3</v>
      </c>
      <c r="L77" t="s">
        <v>3322</v>
      </c>
      <c r="M77" t="str">
        <f t="shared" si="18"/>
        <v>3B</v>
      </c>
      <c r="N77">
        <v>4</v>
      </c>
      <c r="O77" t="str">
        <f t="shared" si="19"/>
        <v>BUS-3B-4</v>
      </c>
      <c r="S77" t="s">
        <v>810</v>
      </c>
      <c r="T77" t="s">
        <v>731</v>
      </c>
      <c r="U77" t="s">
        <v>2168</v>
      </c>
      <c r="V77" t="s">
        <v>453</v>
      </c>
    </row>
    <row r="78" spans="1:22" x14ac:dyDescent="0.25">
      <c r="A78" t="s">
        <v>821</v>
      </c>
      <c r="B78" t="s">
        <v>731</v>
      </c>
      <c r="C78" t="s">
        <v>2179</v>
      </c>
      <c r="D78" t="s">
        <v>454</v>
      </c>
      <c r="J78" t="s">
        <v>3358</v>
      </c>
      <c r="K78">
        <v>3</v>
      </c>
      <c r="L78" t="s">
        <v>3322</v>
      </c>
      <c r="M78" t="str">
        <f t="shared" si="18"/>
        <v>3B</v>
      </c>
      <c r="N78">
        <v>5</v>
      </c>
      <c r="O78" t="str">
        <f t="shared" si="19"/>
        <v>BUS-3B-5</v>
      </c>
      <c r="S78" t="s">
        <v>821</v>
      </c>
      <c r="T78" t="s">
        <v>731</v>
      </c>
      <c r="U78" t="s">
        <v>2179</v>
      </c>
      <c r="V78" t="s">
        <v>454</v>
      </c>
    </row>
    <row r="79" spans="1:22" x14ac:dyDescent="0.25">
      <c r="A79" t="s">
        <v>811</v>
      </c>
      <c r="B79" t="s">
        <v>731</v>
      </c>
      <c r="C79" t="s">
        <v>2169</v>
      </c>
      <c r="D79" t="s">
        <v>455</v>
      </c>
      <c r="J79" t="s">
        <v>3358</v>
      </c>
      <c r="K79">
        <v>3</v>
      </c>
      <c r="L79" t="s">
        <v>3322</v>
      </c>
      <c r="M79" t="str">
        <f t="shared" si="18"/>
        <v>3B</v>
      </c>
      <c r="N79">
        <v>6</v>
      </c>
      <c r="O79" t="str">
        <f t="shared" si="19"/>
        <v>BUS-3B-6</v>
      </c>
      <c r="S79" t="s">
        <v>811</v>
      </c>
      <c r="T79" t="s">
        <v>731</v>
      </c>
      <c r="U79" t="s">
        <v>2169</v>
      </c>
      <c r="V79" t="s">
        <v>455</v>
      </c>
    </row>
    <row r="80" spans="1:22" x14ac:dyDescent="0.25">
      <c r="A80" t="s">
        <v>783</v>
      </c>
      <c r="B80" t="s">
        <v>731</v>
      </c>
      <c r="C80" t="s">
        <v>2133</v>
      </c>
      <c r="D80" t="s">
        <v>456</v>
      </c>
      <c r="J80" t="s">
        <v>3358</v>
      </c>
      <c r="K80">
        <v>3</v>
      </c>
      <c r="L80" t="s">
        <v>3322</v>
      </c>
      <c r="M80" t="str">
        <f t="shared" si="18"/>
        <v>3B</v>
      </c>
      <c r="N80">
        <v>7</v>
      </c>
      <c r="O80" t="str">
        <f t="shared" si="19"/>
        <v>BUS-3B-7</v>
      </c>
      <c r="S80" t="s">
        <v>783</v>
      </c>
      <c r="T80" t="s">
        <v>731</v>
      </c>
      <c r="U80" t="s">
        <v>2133</v>
      </c>
      <c r="V80" t="s">
        <v>456</v>
      </c>
    </row>
    <row r="81" spans="1:22" x14ac:dyDescent="0.25">
      <c r="A81" t="s">
        <v>784</v>
      </c>
      <c r="B81" t="s">
        <v>731</v>
      </c>
      <c r="C81" t="s">
        <v>2134</v>
      </c>
      <c r="D81" t="s">
        <v>457</v>
      </c>
      <c r="J81" t="s">
        <v>3358</v>
      </c>
      <c r="K81">
        <v>3</v>
      </c>
      <c r="L81" t="s">
        <v>3322</v>
      </c>
      <c r="M81" t="str">
        <f t="shared" si="18"/>
        <v>3B</v>
      </c>
      <c r="N81">
        <v>8</v>
      </c>
      <c r="O81" t="str">
        <f t="shared" si="19"/>
        <v>BUS-3B-8</v>
      </c>
      <c r="S81" t="s">
        <v>784</v>
      </c>
      <c r="T81" t="s">
        <v>731</v>
      </c>
      <c r="U81" t="s">
        <v>2134</v>
      </c>
      <c r="V81" t="s">
        <v>457</v>
      </c>
    </row>
    <row r="82" spans="1:22" x14ac:dyDescent="0.25">
      <c r="A82" t="s">
        <v>753</v>
      </c>
      <c r="B82" t="s">
        <v>731</v>
      </c>
      <c r="C82" t="s">
        <v>2103</v>
      </c>
      <c r="D82" t="s">
        <v>467</v>
      </c>
      <c r="J82" t="s">
        <v>3358</v>
      </c>
      <c r="K82">
        <v>3</v>
      </c>
      <c r="L82" t="s">
        <v>3323</v>
      </c>
      <c r="M82" t="str">
        <f>K82&amp;L82</f>
        <v>3C</v>
      </c>
      <c r="N82">
        <v>1</v>
      </c>
      <c r="O82" t="str">
        <f>_xlfn.TEXTJOIN("-",TRUE,J82,M82,N82)</f>
        <v>BUS-3C-1</v>
      </c>
      <c r="S82" t="s">
        <v>753</v>
      </c>
      <c r="T82" t="s">
        <v>731</v>
      </c>
      <c r="U82" t="s">
        <v>2103</v>
      </c>
      <c r="V82" t="s">
        <v>467</v>
      </c>
    </row>
    <row r="83" spans="1:22" x14ac:dyDescent="0.25">
      <c r="A83" t="s">
        <v>757</v>
      </c>
      <c r="B83" t="s">
        <v>731</v>
      </c>
      <c r="C83" t="s">
        <v>2107</v>
      </c>
      <c r="D83" t="s">
        <v>468</v>
      </c>
      <c r="J83" t="s">
        <v>3358</v>
      </c>
      <c r="K83">
        <v>3</v>
      </c>
      <c r="L83" t="s">
        <v>3323</v>
      </c>
      <c r="M83" t="str">
        <f t="shared" ref="M83:M89" si="20">K83&amp;L83</f>
        <v>3C</v>
      </c>
      <c r="N83">
        <v>2</v>
      </c>
      <c r="O83" t="str">
        <f t="shared" ref="O83:O89" si="21">_xlfn.TEXTJOIN("-",TRUE,J83,M83,N83)</f>
        <v>BUS-3C-2</v>
      </c>
      <c r="S83" t="s">
        <v>757</v>
      </c>
      <c r="T83" t="s">
        <v>731</v>
      </c>
      <c r="U83" t="s">
        <v>2107</v>
      </c>
      <c r="V83" t="s">
        <v>468</v>
      </c>
    </row>
    <row r="84" spans="1:22" x14ac:dyDescent="0.25">
      <c r="A84" t="s">
        <v>818</v>
      </c>
      <c r="B84" t="s">
        <v>731</v>
      </c>
      <c r="C84" t="s">
        <v>2176</v>
      </c>
      <c r="D84" t="s">
        <v>469</v>
      </c>
      <c r="J84" t="s">
        <v>3358</v>
      </c>
      <c r="K84">
        <v>3</v>
      </c>
      <c r="L84" t="s">
        <v>3323</v>
      </c>
      <c r="M84" t="str">
        <f t="shared" si="20"/>
        <v>3C</v>
      </c>
      <c r="N84">
        <v>3</v>
      </c>
      <c r="O84" t="str">
        <f t="shared" si="21"/>
        <v>BUS-3C-3</v>
      </c>
      <c r="S84" t="s">
        <v>818</v>
      </c>
      <c r="T84" t="s">
        <v>731</v>
      </c>
      <c r="U84" t="s">
        <v>2176</v>
      </c>
      <c r="V84" t="s">
        <v>469</v>
      </c>
    </row>
    <row r="85" spans="1:22" x14ac:dyDescent="0.25">
      <c r="A85" t="s">
        <v>812</v>
      </c>
      <c r="B85" t="s">
        <v>731</v>
      </c>
      <c r="C85" t="s">
        <v>2170</v>
      </c>
      <c r="D85" t="s">
        <v>470</v>
      </c>
      <c r="J85" t="s">
        <v>3358</v>
      </c>
      <c r="K85">
        <v>3</v>
      </c>
      <c r="L85" t="s">
        <v>3323</v>
      </c>
      <c r="M85" t="str">
        <f t="shared" si="20"/>
        <v>3C</v>
      </c>
      <c r="N85">
        <v>4</v>
      </c>
      <c r="O85" t="str">
        <f t="shared" si="21"/>
        <v>BUS-3C-4</v>
      </c>
      <c r="S85" t="s">
        <v>812</v>
      </c>
      <c r="T85" t="s">
        <v>731</v>
      </c>
      <c r="U85" t="s">
        <v>2170</v>
      </c>
      <c r="V85" t="s">
        <v>470</v>
      </c>
    </row>
    <row r="86" spans="1:22" x14ac:dyDescent="0.25">
      <c r="A86" t="s">
        <v>822</v>
      </c>
      <c r="B86" t="s">
        <v>731</v>
      </c>
      <c r="C86" t="s">
        <v>2180</v>
      </c>
      <c r="D86" t="s">
        <v>471</v>
      </c>
      <c r="J86" t="s">
        <v>3358</v>
      </c>
      <c r="K86">
        <v>3</v>
      </c>
      <c r="L86" t="s">
        <v>3323</v>
      </c>
      <c r="M86" t="str">
        <f t="shared" si="20"/>
        <v>3C</v>
      </c>
      <c r="N86">
        <v>5</v>
      </c>
      <c r="O86" t="str">
        <f t="shared" si="21"/>
        <v>BUS-3C-5</v>
      </c>
      <c r="S86" t="s">
        <v>822</v>
      </c>
      <c r="T86" t="s">
        <v>731</v>
      </c>
      <c r="U86" t="s">
        <v>2180</v>
      </c>
      <c r="V86" t="s">
        <v>471</v>
      </c>
    </row>
    <row r="87" spans="1:22" x14ac:dyDescent="0.25">
      <c r="A87" t="s">
        <v>813</v>
      </c>
      <c r="B87" t="s">
        <v>731</v>
      </c>
      <c r="C87" t="s">
        <v>2171</v>
      </c>
      <c r="D87" t="s">
        <v>472</v>
      </c>
      <c r="J87" t="s">
        <v>3358</v>
      </c>
      <c r="K87">
        <v>3</v>
      </c>
      <c r="L87" t="s">
        <v>3323</v>
      </c>
      <c r="M87" t="str">
        <f t="shared" si="20"/>
        <v>3C</v>
      </c>
      <c r="N87">
        <v>6</v>
      </c>
      <c r="O87" t="str">
        <f t="shared" si="21"/>
        <v>BUS-3C-6</v>
      </c>
      <c r="S87" t="s">
        <v>813</v>
      </c>
      <c r="T87" t="s">
        <v>731</v>
      </c>
      <c r="U87" t="s">
        <v>2171</v>
      </c>
      <c r="V87" t="s">
        <v>472</v>
      </c>
    </row>
    <row r="88" spans="1:22" x14ac:dyDescent="0.25">
      <c r="A88" t="s">
        <v>861</v>
      </c>
      <c r="B88" t="s">
        <v>731</v>
      </c>
      <c r="C88" t="s">
        <v>2258</v>
      </c>
      <c r="D88" t="s">
        <v>473</v>
      </c>
      <c r="J88" t="s">
        <v>3358</v>
      </c>
      <c r="K88">
        <v>3</v>
      </c>
      <c r="L88" t="s">
        <v>3323</v>
      </c>
      <c r="M88" t="str">
        <f t="shared" si="20"/>
        <v>3C</v>
      </c>
      <c r="N88">
        <v>7</v>
      </c>
      <c r="O88" t="str">
        <f t="shared" si="21"/>
        <v>BUS-3C-7</v>
      </c>
      <c r="S88" t="s">
        <v>861</v>
      </c>
      <c r="T88" t="s">
        <v>731</v>
      </c>
      <c r="U88" t="s">
        <v>2258</v>
      </c>
      <c r="V88" t="s">
        <v>473</v>
      </c>
    </row>
    <row r="89" spans="1:22" x14ac:dyDescent="0.25">
      <c r="A89" t="s">
        <v>780</v>
      </c>
      <c r="B89" t="s">
        <v>731</v>
      </c>
      <c r="C89" t="s">
        <v>2130</v>
      </c>
      <c r="D89" t="s">
        <v>474</v>
      </c>
      <c r="J89" t="s">
        <v>3358</v>
      </c>
      <c r="K89">
        <v>3</v>
      </c>
      <c r="L89" t="s">
        <v>3323</v>
      </c>
      <c r="M89" t="str">
        <f t="shared" si="20"/>
        <v>3C</v>
      </c>
      <c r="N89">
        <v>8</v>
      </c>
      <c r="O89" t="str">
        <f t="shared" si="21"/>
        <v>BUS-3C-8</v>
      </c>
      <c r="S89" t="s">
        <v>780</v>
      </c>
      <c r="T89" t="s">
        <v>731</v>
      </c>
      <c r="U89" t="s">
        <v>2130</v>
      </c>
      <c r="V89" t="s">
        <v>474</v>
      </c>
    </row>
    <row r="90" spans="1:22" x14ac:dyDescent="0.25">
      <c r="A90" t="s">
        <v>754</v>
      </c>
      <c r="B90" t="s">
        <v>731</v>
      </c>
      <c r="C90" t="s">
        <v>2104</v>
      </c>
      <c r="D90" t="s">
        <v>484</v>
      </c>
      <c r="J90" t="s">
        <v>3358</v>
      </c>
      <c r="K90">
        <v>3</v>
      </c>
      <c r="L90" t="s">
        <v>3324</v>
      </c>
      <c r="M90" t="str">
        <f>K90&amp;L90</f>
        <v>3D</v>
      </c>
      <c r="N90">
        <v>1</v>
      </c>
      <c r="O90" t="str">
        <f>_xlfn.TEXTJOIN("-",TRUE,J90,M90,N90)</f>
        <v>BUS-3D-1</v>
      </c>
      <c r="S90" t="s">
        <v>754</v>
      </c>
      <c r="T90" t="s">
        <v>731</v>
      </c>
      <c r="U90" t="s">
        <v>2104</v>
      </c>
      <c r="V90" t="s">
        <v>484</v>
      </c>
    </row>
    <row r="91" spans="1:22" x14ac:dyDescent="0.25">
      <c r="A91" t="s">
        <v>758</v>
      </c>
      <c r="B91" t="s">
        <v>731</v>
      </c>
      <c r="C91" t="s">
        <v>2108</v>
      </c>
      <c r="D91" t="s">
        <v>485</v>
      </c>
      <c r="J91" t="s">
        <v>3358</v>
      </c>
      <c r="K91">
        <v>3</v>
      </c>
      <c r="L91" t="s">
        <v>3324</v>
      </c>
      <c r="M91" t="str">
        <f t="shared" ref="M91:M97" si="22">K91&amp;L91</f>
        <v>3D</v>
      </c>
      <c r="N91">
        <v>2</v>
      </c>
      <c r="O91" t="str">
        <f t="shared" ref="O91:O97" si="23">_xlfn.TEXTJOIN("-",TRUE,J91,M91,N91)</f>
        <v>BUS-3D-2</v>
      </c>
      <c r="S91" t="s">
        <v>758</v>
      </c>
      <c r="T91" t="s">
        <v>731</v>
      </c>
      <c r="U91" t="s">
        <v>2108</v>
      </c>
      <c r="V91" t="s">
        <v>485</v>
      </c>
    </row>
    <row r="92" spans="1:22" x14ac:dyDescent="0.25">
      <c r="A92" t="s">
        <v>819</v>
      </c>
      <c r="B92" t="s">
        <v>731</v>
      </c>
      <c r="C92" t="s">
        <v>2177</v>
      </c>
      <c r="D92" t="s">
        <v>486</v>
      </c>
      <c r="J92" t="s">
        <v>3358</v>
      </c>
      <c r="K92">
        <v>3</v>
      </c>
      <c r="L92" t="s">
        <v>3324</v>
      </c>
      <c r="M92" t="str">
        <f t="shared" si="22"/>
        <v>3D</v>
      </c>
      <c r="N92">
        <v>3</v>
      </c>
      <c r="O92" t="str">
        <f t="shared" si="23"/>
        <v>BUS-3D-3</v>
      </c>
      <c r="S92" t="s">
        <v>819</v>
      </c>
      <c r="T92" t="s">
        <v>731</v>
      </c>
      <c r="U92" t="s">
        <v>2177</v>
      </c>
      <c r="V92" t="s">
        <v>486</v>
      </c>
    </row>
    <row r="93" spans="1:22" x14ac:dyDescent="0.25">
      <c r="A93" t="s">
        <v>815</v>
      </c>
      <c r="B93" t="s">
        <v>731</v>
      </c>
      <c r="C93" t="s">
        <v>2173</v>
      </c>
      <c r="D93" t="s">
        <v>487</v>
      </c>
      <c r="J93" t="s">
        <v>3358</v>
      </c>
      <c r="K93">
        <v>3</v>
      </c>
      <c r="L93" t="s">
        <v>3324</v>
      </c>
      <c r="M93" t="str">
        <f t="shared" si="22"/>
        <v>3D</v>
      </c>
      <c r="N93">
        <v>4</v>
      </c>
      <c r="O93" t="str">
        <f t="shared" si="23"/>
        <v>BUS-3D-4</v>
      </c>
      <c r="S93" t="s">
        <v>815</v>
      </c>
      <c r="T93" t="s">
        <v>731</v>
      </c>
      <c r="U93" t="s">
        <v>2173</v>
      </c>
      <c r="V93" t="s">
        <v>487</v>
      </c>
    </row>
    <row r="94" spans="1:22" x14ac:dyDescent="0.25">
      <c r="A94" t="s">
        <v>823</v>
      </c>
      <c r="B94" t="s">
        <v>731</v>
      </c>
      <c r="C94" t="s">
        <v>2181</v>
      </c>
      <c r="D94" t="s">
        <v>488</v>
      </c>
      <c r="J94" t="s">
        <v>3358</v>
      </c>
      <c r="K94">
        <v>3</v>
      </c>
      <c r="L94" t="s">
        <v>3324</v>
      </c>
      <c r="M94" t="str">
        <f t="shared" si="22"/>
        <v>3D</v>
      </c>
      <c r="N94">
        <v>5</v>
      </c>
      <c r="O94" t="str">
        <f t="shared" si="23"/>
        <v>BUS-3D-5</v>
      </c>
      <c r="S94" t="s">
        <v>823</v>
      </c>
      <c r="T94" t="s">
        <v>731</v>
      </c>
      <c r="U94" t="s">
        <v>2181</v>
      </c>
      <c r="V94" t="s">
        <v>488</v>
      </c>
    </row>
    <row r="95" spans="1:22" x14ac:dyDescent="0.25">
      <c r="A95" t="s">
        <v>882</v>
      </c>
      <c r="B95" t="s">
        <v>731</v>
      </c>
      <c r="C95" t="s">
        <v>2279</v>
      </c>
      <c r="D95" t="s">
        <v>489</v>
      </c>
      <c r="J95" t="s">
        <v>3358</v>
      </c>
      <c r="K95">
        <v>3</v>
      </c>
      <c r="L95" t="s">
        <v>3324</v>
      </c>
      <c r="M95" t="str">
        <f t="shared" si="22"/>
        <v>3D</v>
      </c>
      <c r="N95">
        <v>6</v>
      </c>
      <c r="O95" t="str">
        <f t="shared" si="23"/>
        <v>BUS-3D-6</v>
      </c>
      <c r="S95" t="s">
        <v>882</v>
      </c>
      <c r="T95" t="s">
        <v>731</v>
      </c>
      <c r="U95" t="s">
        <v>2279</v>
      </c>
      <c r="V95" t="s">
        <v>489</v>
      </c>
    </row>
    <row r="96" spans="1:22" x14ac:dyDescent="0.25">
      <c r="A96" t="s">
        <v>779</v>
      </c>
      <c r="B96" t="s">
        <v>731</v>
      </c>
      <c r="C96" t="s">
        <v>2129</v>
      </c>
      <c r="D96" t="s">
        <v>490</v>
      </c>
      <c r="J96" t="s">
        <v>3358</v>
      </c>
      <c r="K96">
        <v>3</v>
      </c>
      <c r="L96" t="s">
        <v>3324</v>
      </c>
      <c r="M96" t="str">
        <f t="shared" si="22"/>
        <v>3D</v>
      </c>
      <c r="N96">
        <v>7</v>
      </c>
      <c r="O96" t="str">
        <f t="shared" si="23"/>
        <v>BUS-3D-7</v>
      </c>
      <c r="S96" t="s">
        <v>779</v>
      </c>
      <c r="T96" t="s">
        <v>731</v>
      </c>
      <c r="U96" t="s">
        <v>2129</v>
      </c>
      <c r="V96" t="s">
        <v>490</v>
      </c>
    </row>
    <row r="97" spans="1:22" x14ac:dyDescent="0.25">
      <c r="A97" t="s">
        <v>782</v>
      </c>
      <c r="B97" t="s">
        <v>731</v>
      </c>
      <c r="C97" t="s">
        <v>2132</v>
      </c>
      <c r="D97" t="s">
        <v>491</v>
      </c>
      <c r="J97" t="s">
        <v>3358</v>
      </c>
      <c r="K97">
        <v>3</v>
      </c>
      <c r="L97" t="s">
        <v>3324</v>
      </c>
      <c r="M97" t="str">
        <f t="shared" si="22"/>
        <v>3D</v>
      </c>
      <c r="N97">
        <v>8</v>
      </c>
      <c r="O97" t="str">
        <f t="shared" si="23"/>
        <v>BUS-3D-8</v>
      </c>
      <c r="S97" t="s">
        <v>782</v>
      </c>
      <c r="T97" t="s">
        <v>731</v>
      </c>
      <c r="U97" t="s">
        <v>2132</v>
      </c>
      <c r="V97" t="s">
        <v>491</v>
      </c>
    </row>
    <row r="98" spans="1:22" x14ac:dyDescent="0.25">
      <c r="A98" t="s">
        <v>730</v>
      </c>
      <c r="B98" t="s">
        <v>731</v>
      </c>
      <c r="C98" t="s">
        <v>2081</v>
      </c>
      <c r="D98" t="s">
        <v>569</v>
      </c>
      <c r="J98" t="s">
        <v>3358</v>
      </c>
      <c r="K98">
        <v>4</v>
      </c>
      <c r="L98" t="s">
        <v>3321</v>
      </c>
      <c r="M98" t="str">
        <f>K98&amp;L98</f>
        <v>4A</v>
      </c>
      <c r="N98">
        <v>1</v>
      </c>
      <c r="O98" t="str">
        <f>_xlfn.TEXTJOIN("-",TRUE,J98,M98,N98)</f>
        <v>BUS-4A-1</v>
      </c>
      <c r="S98" t="s">
        <v>730</v>
      </c>
      <c r="T98" t="s">
        <v>731</v>
      </c>
      <c r="U98" t="s">
        <v>2081</v>
      </c>
      <c r="V98" t="s">
        <v>569</v>
      </c>
    </row>
    <row r="99" spans="1:22" x14ac:dyDescent="0.25">
      <c r="A99" t="s">
        <v>730</v>
      </c>
      <c r="B99" t="s">
        <v>731</v>
      </c>
      <c r="C99" t="s">
        <v>2205</v>
      </c>
      <c r="D99" t="s">
        <v>569</v>
      </c>
      <c r="J99" t="s">
        <v>3358</v>
      </c>
      <c r="K99">
        <v>4</v>
      </c>
      <c r="L99" t="s">
        <v>3321</v>
      </c>
      <c r="M99" t="str">
        <f t="shared" ref="M99:M105" si="24">K99&amp;L99</f>
        <v>4A</v>
      </c>
      <c r="N99">
        <v>2</v>
      </c>
      <c r="O99" t="str">
        <f t="shared" ref="O99:O105" si="25">_xlfn.TEXTJOIN("-",TRUE,J99,M99,N99)</f>
        <v>BUS-4A-2</v>
      </c>
      <c r="S99" t="s">
        <v>730</v>
      </c>
      <c r="T99" t="s">
        <v>731</v>
      </c>
      <c r="U99" t="s">
        <v>2205</v>
      </c>
      <c r="V99" t="s">
        <v>569</v>
      </c>
    </row>
    <row r="100" spans="1:22" x14ac:dyDescent="0.25">
      <c r="A100" t="s">
        <v>739</v>
      </c>
      <c r="B100" t="s">
        <v>731</v>
      </c>
      <c r="C100" t="s">
        <v>2089</v>
      </c>
      <c r="D100" t="s">
        <v>570</v>
      </c>
      <c r="J100" t="s">
        <v>3358</v>
      </c>
      <c r="K100">
        <v>4</v>
      </c>
      <c r="L100" t="s">
        <v>3321</v>
      </c>
      <c r="M100" t="str">
        <f t="shared" si="24"/>
        <v>4A</v>
      </c>
      <c r="N100">
        <v>3</v>
      </c>
      <c r="O100" t="str">
        <f t="shared" si="25"/>
        <v>BUS-4A-3</v>
      </c>
      <c r="S100" t="s">
        <v>739</v>
      </c>
      <c r="T100" t="s">
        <v>731</v>
      </c>
      <c r="U100" t="s">
        <v>2089</v>
      </c>
      <c r="V100" t="s">
        <v>570</v>
      </c>
    </row>
    <row r="101" spans="1:22" x14ac:dyDescent="0.25">
      <c r="A101" t="s">
        <v>735</v>
      </c>
      <c r="B101" t="s">
        <v>731</v>
      </c>
      <c r="C101" t="s">
        <v>2085</v>
      </c>
      <c r="D101" t="s">
        <v>571</v>
      </c>
      <c r="J101" t="s">
        <v>3358</v>
      </c>
      <c r="K101">
        <v>4</v>
      </c>
      <c r="L101" t="s">
        <v>3321</v>
      </c>
      <c r="M101" t="str">
        <f t="shared" si="24"/>
        <v>4A</v>
      </c>
      <c r="N101">
        <v>4</v>
      </c>
      <c r="O101" t="str">
        <f t="shared" si="25"/>
        <v>BUS-4A-4</v>
      </c>
      <c r="S101" t="s">
        <v>735</v>
      </c>
      <c r="T101" t="s">
        <v>731</v>
      </c>
      <c r="U101" t="s">
        <v>2085</v>
      </c>
      <c r="V101" t="s">
        <v>571</v>
      </c>
    </row>
    <row r="102" spans="1:22" x14ac:dyDescent="0.25">
      <c r="A102" t="s">
        <v>735</v>
      </c>
      <c r="B102" t="s">
        <v>731</v>
      </c>
      <c r="C102" t="s">
        <v>2198</v>
      </c>
      <c r="D102" t="s">
        <v>571</v>
      </c>
      <c r="J102" t="s">
        <v>3358</v>
      </c>
      <c r="K102">
        <v>4</v>
      </c>
      <c r="L102" t="s">
        <v>3321</v>
      </c>
      <c r="M102" t="str">
        <f t="shared" si="24"/>
        <v>4A</v>
      </c>
      <c r="N102">
        <v>5</v>
      </c>
      <c r="O102" t="str">
        <f t="shared" si="25"/>
        <v>BUS-4A-5</v>
      </c>
      <c r="S102" t="s">
        <v>735</v>
      </c>
      <c r="T102" t="s">
        <v>731</v>
      </c>
      <c r="U102" t="s">
        <v>2198</v>
      </c>
      <c r="V102" t="s">
        <v>571</v>
      </c>
    </row>
    <row r="103" spans="1:22" x14ac:dyDescent="0.25">
      <c r="A103" t="s">
        <v>740</v>
      </c>
      <c r="B103" t="s">
        <v>731</v>
      </c>
      <c r="C103" t="s">
        <v>2090</v>
      </c>
      <c r="D103" t="s">
        <v>572</v>
      </c>
      <c r="J103" t="s">
        <v>3358</v>
      </c>
      <c r="K103">
        <v>4</v>
      </c>
      <c r="L103" t="s">
        <v>3321</v>
      </c>
      <c r="M103" t="str">
        <f t="shared" si="24"/>
        <v>4A</v>
      </c>
      <c r="N103">
        <v>6</v>
      </c>
      <c r="O103" t="str">
        <f t="shared" si="25"/>
        <v>BUS-4A-6</v>
      </c>
      <c r="S103" t="s">
        <v>740</v>
      </c>
      <c r="T103" t="s">
        <v>731</v>
      </c>
      <c r="U103" t="s">
        <v>2090</v>
      </c>
      <c r="V103" t="s">
        <v>572</v>
      </c>
    </row>
    <row r="104" spans="1:22" x14ac:dyDescent="0.25">
      <c r="A104" t="s">
        <v>740</v>
      </c>
      <c r="B104" t="s">
        <v>731</v>
      </c>
      <c r="C104" t="s">
        <v>2206</v>
      </c>
      <c r="D104" t="s">
        <v>572</v>
      </c>
      <c r="J104" t="s">
        <v>3358</v>
      </c>
      <c r="K104">
        <v>4</v>
      </c>
      <c r="L104" t="s">
        <v>3321</v>
      </c>
      <c r="M104" t="str">
        <f t="shared" si="24"/>
        <v>4A</v>
      </c>
      <c r="N104">
        <v>7</v>
      </c>
      <c r="O104" t="str">
        <f t="shared" si="25"/>
        <v>BUS-4A-7</v>
      </c>
      <c r="S104" t="s">
        <v>740</v>
      </c>
      <c r="T104" t="s">
        <v>731</v>
      </c>
      <c r="U104" t="s">
        <v>2206</v>
      </c>
      <c r="V104" t="s">
        <v>572</v>
      </c>
    </row>
    <row r="105" spans="1:22" x14ac:dyDescent="0.25">
      <c r="A105" t="s">
        <v>747</v>
      </c>
      <c r="B105" t="s">
        <v>731</v>
      </c>
      <c r="C105" t="s">
        <v>2097</v>
      </c>
      <c r="D105" t="s">
        <v>573</v>
      </c>
      <c r="J105" t="s">
        <v>3358</v>
      </c>
      <c r="K105">
        <v>4</v>
      </c>
      <c r="L105" t="s">
        <v>3321</v>
      </c>
      <c r="M105" t="str">
        <f t="shared" si="24"/>
        <v>4A</v>
      </c>
      <c r="N105">
        <v>8</v>
      </c>
      <c r="O105" t="str">
        <f t="shared" si="25"/>
        <v>BUS-4A-8</v>
      </c>
      <c r="S105" t="s">
        <v>747</v>
      </c>
      <c r="T105" t="s">
        <v>731</v>
      </c>
      <c r="U105" t="s">
        <v>2097</v>
      </c>
      <c r="V105" t="s">
        <v>573</v>
      </c>
    </row>
    <row r="106" spans="1:22" x14ac:dyDescent="0.25">
      <c r="A106" t="s">
        <v>747</v>
      </c>
      <c r="B106" t="s">
        <v>731</v>
      </c>
      <c r="C106" t="s">
        <v>2190</v>
      </c>
      <c r="D106" t="s">
        <v>573</v>
      </c>
      <c r="J106" t="s">
        <v>3358</v>
      </c>
      <c r="K106">
        <v>4</v>
      </c>
      <c r="L106" t="s">
        <v>3322</v>
      </c>
      <c r="M106" t="str">
        <f>K106&amp;L106</f>
        <v>4B</v>
      </c>
      <c r="N106">
        <v>1</v>
      </c>
      <c r="O106" t="str">
        <f>_xlfn.TEXTJOIN("-",TRUE,J106,M106,N106)</f>
        <v>BUS-4B-1</v>
      </c>
      <c r="S106" t="s">
        <v>747</v>
      </c>
      <c r="T106" t="s">
        <v>731</v>
      </c>
      <c r="U106" t="s">
        <v>2190</v>
      </c>
      <c r="V106" t="s">
        <v>573</v>
      </c>
    </row>
    <row r="107" spans="1:22" x14ac:dyDescent="0.25">
      <c r="A107" t="s">
        <v>759</v>
      </c>
      <c r="B107" t="s">
        <v>731</v>
      </c>
      <c r="C107" t="s">
        <v>2109</v>
      </c>
      <c r="D107" t="s">
        <v>574</v>
      </c>
      <c r="J107" t="s">
        <v>3358</v>
      </c>
      <c r="K107">
        <v>4</v>
      </c>
      <c r="L107" t="s">
        <v>3322</v>
      </c>
      <c r="M107" t="str">
        <f t="shared" ref="M107:M113" si="26">K107&amp;L107</f>
        <v>4B</v>
      </c>
      <c r="N107">
        <v>2</v>
      </c>
      <c r="O107" t="str">
        <f t="shared" ref="O107:O113" si="27">_xlfn.TEXTJOIN("-",TRUE,J107,M107,N107)</f>
        <v>BUS-4B-2</v>
      </c>
      <c r="S107" t="s">
        <v>759</v>
      </c>
      <c r="T107" t="s">
        <v>731</v>
      </c>
      <c r="U107" t="s">
        <v>2109</v>
      </c>
      <c r="V107" t="s">
        <v>574</v>
      </c>
    </row>
    <row r="108" spans="1:22" x14ac:dyDescent="0.25">
      <c r="A108" t="s">
        <v>759</v>
      </c>
      <c r="B108" t="s">
        <v>731</v>
      </c>
      <c r="C108" t="s">
        <v>2194</v>
      </c>
      <c r="D108" t="s">
        <v>574</v>
      </c>
      <c r="J108" t="s">
        <v>3358</v>
      </c>
      <c r="K108">
        <v>4</v>
      </c>
      <c r="L108" t="s">
        <v>3322</v>
      </c>
      <c r="M108" t="str">
        <f t="shared" si="26"/>
        <v>4B</v>
      </c>
      <c r="N108">
        <v>3</v>
      </c>
      <c r="O108" t="str">
        <f t="shared" si="27"/>
        <v>BUS-4B-3</v>
      </c>
      <c r="S108" t="s">
        <v>759</v>
      </c>
      <c r="T108" t="s">
        <v>731</v>
      </c>
      <c r="U108" t="s">
        <v>2194</v>
      </c>
      <c r="V108" t="s">
        <v>574</v>
      </c>
    </row>
    <row r="109" spans="1:22" x14ac:dyDescent="0.25">
      <c r="A109" t="s">
        <v>824</v>
      </c>
      <c r="B109" t="s">
        <v>731</v>
      </c>
      <c r="C109" t="s">
        <v>2182</v>
      </c>
      <c r="D109" t="s">
        <v>575</v>
      </c>
      <c r="J109" t="s">
        <v>3358</v>
      </c>
      <c r="K109">
        <v>4</v>
      </c>
      <c r="L109" t="s">
        <v>3322</v>
      </c>
      <c r="M109" t="str">
        <f t="shared" si="26"/>
        <v>4B</v>
      </c>
      <c r="N109">
        <v>4</v>
      </c>
      <c r="O109" t="str">
        <f t="shared" si="27"/>
        <v>BUS-4B-4</v>
      </c>
      <c r="S109" t="s">
        <v>824</v>
      </c>
      <c r="T109" t="s">
        <v>731</v>
      </c>
      <c r="U109" t="s">
        <v>2182</v>
      </c>
      <c r="V109" t="s">
        <v>575</v>
      </c>
    </row>
    <row r="110" spans="1:22" x14ac:dyDescent="0.25">
      <c r="A110" t="s">
        <v>824</v>
      </c>
      <c r="B110" t="s">
        <v>731</v>
      </c>
      <c r="C110" t="s">
        <v>2183</v>
      </c>
      <c r="D110" t="s">
        <v>575</v>
      </c>
      <c r="J110" t="s">
        <v>3358</v>
      </c>
      <c r="K110">
        <v>4</v>
      </c>
      <c r="L110" t="s">
        <v>3322</v>
      </c>
      <c r="M110" t="str">
        <f t="shared" si="26"/>
        <v>4B</v>
      </c>
      <c r="N110">
        <v>5</v>
      </c>
      <c r="O110" t="str">
        <f t="shared" si="27"/>
        <v>BUS-4B-5</v>
      </c>
      <c r="S110" t="s">
        <v>824</v>
      </c>
      <c r="T110" t="s">
        <v>731</v>
      </c>
      <c r="U110" t="s">
        <v>2183</v>
      </c>
      <c r="V110" t="s">
        <v>575</v>
      </c>
    </row>
    <row r="111" spans="1:22" x14ac:dyDescent="0.25">
      <c r="A111" t="s">
        <v>793</v>
      </c>
      <c r="B111" t="s">
        <v>731</v>
      </c>
      <c r="C111" t="s">
        <v>2143</v>
      </c>
      <c r="D111" t="s">
        <v>576</v>
      </c>
      <c r="J111" t="s">
        <v>3358</v>
      </c>
      <c r="K111">
        <v>4</v>
      </c>
      <c r="L111" t="s">
        <v>3322</v>
      </c>
      <c r="M111" t="str">
        <f t="shared" si="26"/>
        <v>4B</v>
      </c>
      <c r="N111">
        <v>6</v>
      </c>
      <c r="O111" t="str">
        <f t="shared" si="27"/>
        <v>BUS-4B-6</v>
      </c>
      <c r="S111" t="s">
        <v>793</v>
      </c>
      <c r="T111" t="s">
        <v>731</v>
      </c>
      <c r="U111" t="s">
        <v>2143</v>
      </c>
      <c r="V111" t="s">
        <v>576</v>
      </c>
    </row>
    <row r="112" spans="1:22" x14ac:dyDescent="0.25">
      <c r="A112" t="s">
        <v>793</v>
      </c>
      <c r="B112" t="s">
        <v>731</v>
      </c>
      <c r="C112" t="s">
        <v>2153</v>
      </c>
      <c r="D112" t="s">
        <v>576</v>
      </c>
      <c r="J112" t="s">
        <v>3358</v>
      </c>
      <c r="K112">
        <v>4</v>
      </c>
      <c r="L112" t="s">
        <v>3322</v>
      </c>
      <c r="M112" t="str">
        <f t="shared" si="26"/>
        <v>4B</v>
      </c>
      <c r="N112">
        <v>7</v>
      </c>
      <c r="O112" t="str">
        <f t="shared" si="27"/>
        <v>BUS-4B-7</v>
      </c>
      <c r="S112" t="s">
        <v>793</v>
      </c>
      <c r="T112" t="s">
        <v>731</v>
      </c>
      <c r="U112" t="s">
        <v>2153</v>
      </c>
      <c r="V112" t="s">
        <v>576</v>
      </c>
    </row>
    <row r="113" spans="1:22" x14ac:dyDescent="0.25">
      <c r="A113" t="s">
        <v>732</v>
      </c>
      <c r="B113" t="s">
        <v>731</v>
      </c>
      <c r="C113" t="s">
        <v>2082</v>
      </c>
      <c r="D113" t="s">
        <v>586</v>
      </c>
      <c r="J113" t="s">
        <v>3358</v>
      </c>
      <c r="K113">
        <v>4</v>
      </c>
      <c r="L113" t="s">
        <v>3322</v>
      </c>
      <c r="M113" t="str">
        <f t="shared" si="26"/>
        <v>4B</v>
      </c>
      <c r="N113">
        <v>8</v>
      </c>
      <c r="O113" t="str">
        <f t="shared" si="27"/>
        <v>BUS-4B-8</v>
      </c>
      <c r="S113" t="s">
        <v>732</v>
      </c>
      <c r="T113" t="s">
        <v>731</v>
      </c>
      <c r="U113" t="s">
        <v>2082</v>
      </c>
      <c r="V113" t="s">
        <v>586</v>
      </c>
    </row>
    <row r="114" spans="1:22" x14ac:dyDescent="0.25">
      <c r="A114" t="s">
        <v>732</v>
      </c>
      <c r="B114" t="s">
        <v>731</v>
      </c>
      <c r="C114" t="s">
        <v>2204</v>
      </c>
      <c r="D114" t="s">
        <v>586</v>
      </c>
      <c r="J114" t="s">
        <v>3358</v>
      </c>
      <c r="K114">
        <v>4</v>
      </c>
      <c r="L114" t="s">
        <v>3323</v>
      </c>
      <c r="M114" t="str">
        <f>K114&amp;L114</f>
        <v>4C</v>
      </c>
      <c r="N114">
        <v>1</v>
      </c>
      <c r="O114" t="str">
        <f>_xlfn.TEXTJOIN("-",TRUE,J114,M114,N114)</f>
        <v>BUS-4C-1</v>
      </c>
      <c r="S114" t="s">
        <v>732</v>
      </c>
      <c r="T114" t="s">
        <v>731</v>
      </c>
      <c r="U114" t="s">
        <v>2204</v>
      </c>
      <c r="V114" t="s">
        <v>586</v>
      </c>
    </row>
    <row r="115" spans="1:22" x14ac:dyDescent="0.25">
      <c r="A115" t="s">
        <v>741</v>
      </c>
      <c r="B115" t="s">
        <v>731</v>
      </c>
      <c r="C115" t="s">
        <v>2091</v>
      </c>
      <c r="D115" t="s">
        <v>587</v>
      </c>
      <c r="J115" t="s">
        <v>3358</v>
      </c>
      <c r="K115">
        <v>4</v>
      </c>
      <c r="L115" t="s">
        <v>3323</v>
      </c>
      <c r="M115" t="str">
        <f t="shared" ref="M115:M121" si="28">K115&amp;L115</f>
        <v>4C</v>
      </c>
      <c r="N115">
        <v>2</v>
      </c>
      <c r="O115" t="str">
        <f t="shared" ref="O115:O121" si="29">_xlfn.TEXTJOIN("-",TRUE,J115,M115,N115)</f>
        <v>BUS-4C-2</v>
      </c>
      <c r="S115" t="s">
        <v>741</v>
      </c>
      <c r="T115" t="s">
        <v>731</v>
      </c>
      <c r="U115" t="s">
        <v>2091</v>
      </c>
      <c r="V115" t="s">
        <v>587</v>
      </c>
    </row>
    <row r="116" spans="1:22" x14ac:dyDescent="0.25">
      <c r="A116" t="s">
        <v>741</v>
      </c>
      <c r="B116" t="s">
        <v>731</v>
      </c>
      <c r="C116" t="s">
        <v>2207</v>
      </c>
      <c r="D116" t="s">
        <v>587</v>
      </c>
      <c r="J116" t="s">
        <v>3358</v>
      </c>
      <c r="K116">
        <v>4</v>
      </c>
      <c r="L116" t="s">
        <v>3323</v>
      </c>
      <c r="M116" t="str">
        <f t="shared" si="28"/>
        <v>4C</v>
      </c>
      <c r="N116">
        <v>3</v>
      </c>
      <c r="O116" t="str">
        <f t="shared" si="29"/>
        <v>BUS-4C-3</v>
      </c>
      <c r="S116" t="s">
        <v>741</v>
      </c>
      <c r="T116" t="s">
        <v>731</v>
      </c>
      <c r="U116" t="s">
        <v>2207</v>
      </c>
      <c r="V116" t="s">
        <v>587</v>
      </c>
    </row>
    <row r="117" spans="1:22" x14ac:dyDescent="0.25">
      <c r="A117" t="s">
        <v>736</v>
      </c>
      <c r="B117" t="s">
        <v>731</v>
      </c>
      <c r="C117" t="s">
        <v>2086</v>
      </c>
      <c r="D117" t="s">
        <v>588</v>
      </c>
      <c r="J117" t="s">
        <v>3358</v>
      </c>
      <c r="K117">
        <v>4</v>
      </c>
      <c r="L117" t="s">
        <v>3323</v>
      </c>
      <c r="M117" t="str">
        <f t="shared" si="28"/>
        <v>4C</v>
      </c>
      <c r="N117">
        <v>4</v>
      </c>
      <c r="O117" t="str">
        <f t="shared" si="29"/>
        <v>BUS-4C-4</v>
      </c>
      <c r="S117" t="s">
        <v>736</v>
      </c>
      <c r="T117" t="s">
        <v>731</v>
      </c>
      <c r="U117" t="s">
        <v>2086</v>
      </c>
      <c r="V117" t="s">
        <v>588</v>
      </c>
    </row>
    <row r="118" spans="1:22" x14ac:dyDescent="0.25">
      <c r="A118" t="s">
        <v>736</v>
      </c>
      <c r="B118" t="s">
        <v>731</v>
      </c>
      <c r="C118" t="s">
        <v>2199</v>
      </c>
      <c r="D118" t="s">
        <v>588</v>
      </c>
      <c r="J118" t="s">
        <v>3358</v>
      </c>
      <c r="K118">
        <v>4</v>
      </c>
      <c r="L118" t="s">
        <v>3323</v>
      </c>
      <c r="M118" t="str">
        <f t="shared" si="28"/>
        <v>4C</v>
      </c>
      <c r="N118">
        <v>5</v>
      </c>
      <c r="O118" t="str">
        <f t="shared" si="29"/>
        <v>BUS-4C-5</v>
      </c>
      <c r="S118" t="s">
        <v>736</v>
      </c>
      <c r="T118" t="s">
        <v>731</v>
      </c>
      <c r="U118" t="s">
        <v>2199</v>
      </c>
      <c r="V118" t="s">
        <v>588</v>
      </c>
    </row>
    <row r="119" spans="1:22" x14ac:dyDescent="0.25">
      <c r="A119" t="s">
        <v>742</v>
      </c>
      <c r="B119" t="s">
        <v>731</v>
      </c>
      <c r="C119" t="s">
        <v>2092</v>
      </c>
      <c r="D119" t="s">
        <v>589</v>
      </c>
      <c r="J119" t="s">
        <v>3358</v>
      </c>
      <c r="K119">
        <v>4</v>
      </c>
      <c r="L119" t="s">
        <v>3323</v>
      </c>
      <c r="M119" t="str">
        <f t="shared" si="28"/>
        <v>4C</v>
      </c>
      <c r="N119">
        <v>6</v>
      </c>
      <c r="O119" t="str">
        <f t="shared" si="29"/>
        <v>BUS-4C-6</v>
      </c>
      <c r="S119" t="s">
        <v>742</v>
      </c>
      <c r="T119" t="s">
        <v>731</v>
      </c>
      <c r="U119" t="s">
        <v>2092</v>
      </c>
      <c r="V119" t="s">
        <v>589</v>
      </c>
    </row>
    <row r="120" spans="1:22" x14ac:dyDescent="0.25">
      <c r="A120" t="s">
        <v>742</v>
      </c>
      <c r="B120" t="s">
        <v>731</v>
      </c>
      <c r="C120" t="s">
        <v>2208</v>
      </c>
      <c r="D120" t="s">
        <v>589</v>
      </c>
      <c r="J120" t="s">
        <v>3358</v>
      </c>
      <c r="K120">
        <v>4</v>
      </c>
      <c r="L120" t="s">
        <v>3323</v>
      </c>
      <c r="M120" t="str">
        <f t="shared" si="28"/>
        <v>4C</v>
      </c>
      <c r="N120">
        <v>7</v>
      </c>
      <c r="O120" t="str">
        <f t="shared" si="29"/>
        <v>BUS-4C-7</v>
      </c>
      <c r="S120" t="s">
        <v>742</v>
      </c>
      <c r="T120" t="s">
        <v>731</v>
      </c>
      <c r="U120" t="s">
        <v>2208</v>
      </c>
      <c r="V120" t="s">
        <v>589</v>
      </c>
    </row>
    <row r="121" spans="1:22" x14ac:dyDescent="0.25">
      <c r="A121" t="s">
        <v>748</v>
      </c>
      <c r="B121" t="s">
        <v>731</v>
      </c>
      <c r="C121" t="s">
        <v>2098</v>
      </c>
      <c r="D121" t="s">
        <v>590</v>
      </c>
      <c r="J121" t="s">
        <v>3358</v>
      </c>
      <c r="K121">
        <v>4</v>
      </c>
      <c r="L121" t="s">
        <v>3323</v>
      </c>
      <c r="M121" t="str">
        <f t="shared" si="28"/>
        <v>4C</v>
      </c>
      <c r="N121">
        <v>8</v>
      </c>
      <c r="O121" t="str">
        <f t="shared" si="29"/>
        <v>BUS-4C-8</v>
      </c>
      <c r="S121" t="s">
        <v>748</v>
      </c>
      <c r="T121" t="s">
        <v>731</v>
      </c>
      <c r="U121" t="s">
        <v>2098</v>
      </c>
      <c r="V121" t="s">
        <v>590</v>
      </c>
    </row>
    <row r="122" spans="1:22" x14ac:dyDescent="0.25">
      <c r="A122" t="s">
        <v>748</v>
      </c>
      <c r="B122" t="s">
        <v>731</v>
      </c>
      <c r="C122" t="s">
        <v>2189</v>
      </c>
      <c r="D122" t="s">
        <v>590</v>
      </c>
      <c r="J122" t="s">
        <v>3358</v>
      </c>
      <c r="K122">
        <v>4</v>
      </c>
      <c r="L122" t="s">
        <v>3324</v>
      </c>
      <c r="M122" t="str">
        <f>K122&amp;L122</f>
        <v>4D</v>
      </c>
      <c r="N122">
        <v>1</v>
      </c>
      <c r="O122" t="str">
        <f>_xlfn.TEXTJOIN("-",TRUE,J122,M122,N122)</f>
        <v>BUS-4D-1</v>
      </c>
      <c r="S122" t="s">
        <v>748</v>
      </c>
      <c r="T122" t="s">
        <v>731</v>
      </c>
      <c r="U122" t="s">
        <v>2189</v>
      </c>
      <c r="V122" t="s">
        <v>590</v>
      </c>
    </row>
    <row r="123" spans="1:22" x14ac:dyDescent="0.25">
      <c r="A123" t="s">
        <v>760</v>
      </c>
      <c r="B123" t="s">
        <v>731</v>
      </c>
      <c r="C123" t="s">
        <v>2110</v>
      </c>
      <c r="D123" t="s">
        <v>591</v>
      </c>
      <c r="J123" t="s">
        <v>3358</v>
      </c>
      <c r="K123">
        <v>4</v>
      </c>
      <c r="L123" t="s">
        <v>3324</v>
      </c>
      <c r="M123" t="str">
        <f t="shared" ref="M123:M129" si="30">K123&amp;L123</f>
        <v>4D</v>
      </c>
      <c r="N123">
        <v>2</v>
      </c>
      <c r="O123" t="str">
        <f t="shared" ref="O123:O129" si="31">_xlfn.TEXTJOIN("-",TRUE,J123,M123,N123)</f>
        <v>BUS-4D-2</v>
      </c>
      <c r="S123" t="s">
        <v>760</v>
      </c>
      <c r="T123" t="s">
        <v>731</v>
      </c>
      <c r="U123" t="s">
        <v>2110</v>
      </c>
      <c r="V123" t="s">
        <v>591</v>
      </c>
    </row>
    <row r="124" spans="1:22" x14ac:dyDescent="0.25">
      <c r="A124" t="s">
        <v>760</v>
      </c>
      <c r="B124" t="s">
        <v>731</v>
      </c>
      <c r="C124" t="s">
        <v>2195</v>
      </c>
      <c r="D124" t="s">
        <v>591</v>
      </c>
      <c r="J124" t="s">
        <v>3358</v>
      </c>
      <c r="K124">
        <v>4</v>
      </c>
      <c r="L124" t="s">
        <v>3324</v>
      </c>
      <c r="M124" t="str">
        <f t="shared" si="30"/>
        <v>4D</v>
      </c>
      <c r="N124">
        <v>3</v>
      </c>
      <c r="O124" t="str">
        <f t="shared" si="31"/>
        <v>BUS-4D-3</v>
      </c>
      <c r="S124" t="s">
        <v>760</v>
      </c>
      <c r="T124" t="s">
        <v>731</v>
      </c>
      <c r="U124" t="s">
        <v>2195</v>
      </c>
      <c r="V124" t="s">
        <v>591</v>
      </c>
    </row>
    <row r="125" spans="1:22" x14ac:dyDescent="0.25">
      <c r="A125" t="s">
        <v>825</v>
      </c>
      <c r="B125" t="s">
        <v>731</v>
      </c>
      <c r="C125" t="s">
        <v>2184</v>
      </c>
      <c r="D125" t="s">
        <v>592</v>
      </c>
      <c r="J125" t="s">
        <v>3358</v>
      </c>
      <c r="K125">
        <v>4</v>
      </c>
      <c r="L125" t="s">
        <v>3324</v>
      </c>
      <c r="M125" t="str">
        <f t="shared" si="30"/>
        <v>4D</v>
      </c>
      <c r="N125">
        <v>4</v>
      </c>
      <c r="O125" t="str">
        <f t="shared" si="31"/>
        <v>BUS-4D-4</v>
      </c>
      <c r="S125" t="s">
        <v>825</v>
      </c>
      <c r="T125" t="s">
        <v>731</v>
      </c>
      <c r="U125" t="s">
        <v>2184</v>
      </c>
      <c r="V125" t="s">
        <v>592</v>
      </c>
    </row>
    <row r="126" spans="1:22" x14ac:dyDescent="0.25">
      <c r="A126" t="s">
        <v>825</v>
      </c>
      <c r="B126" t="s">
        <v>731</v>
      </c>
      <c r="C126" t="s">
        <v>2191</v>
      </c>
      <c r="D126" t="s">
        <v>592</v>
      </c>
      <c r="J126" t="s">
        <v>3358</v>
      </c>
      <c r="K126">
        <v>4</v>
      </c>
      <c r="L126" t="s">
        <v>3324</v>
      </c>
      <c r="M126" t="str">
        <f t="shared" si="30"/>
        <v>4D</v>
      </c>
      <c r="N126">
        <v>5</v>
      </c>
      <c r="O126" t="str">
        <f t="shared" si="31"/>
        <v>BUS-4D-5</v>
      </c>
      <c r="S126" t="s">
        <v>825</v>
      </c>
      <c r="T126" t="s">
        <v>731</v>
      </c>
      <c r="U126" t="s">
        <v>2191</v>
      </c>
      <c r="V126" t="s">
        <v>592</v>
      </c>
    </row>
    <row r="127" spans="1:22" x14ac:dyDescent="0.25">
      <c r="A127" t="s">
        <v>798</v>
      </c>
      <c r="B127" t="s">
        <v>731</v>
      </c>
      <c r="C127" t="s">
        <v>2152</v>
      </c>
      <c r="D127" t="s">
        <v>593</v>
      </c>
      <c r="J127" t="s">
        <v>3358</v>
      </c>
      <c r="K127">
        <v>4</v>
      </c>
      <c r="L127" t="s">
        <v>3324</v>
      </c>
      <c r="M127" t="str">
        <f t="shared" si="30"/>
        <v>4D</v>
      </c>
      <c r="N127">
        <v>6</v>
      </c>
      <c r="O127" t="str">
        <f t="shared" si="31"/>
        <v>BUS-4D-6</v>
      </c>
      <c r="S127" t="s">
        <v>798</v>
      </c>
      <c r="T127" t="s">
        <v>731</v>
      </c>
      <c r="U127" t="s">
        <v>2152</v>
      </c>
      <c r="V127" t="s">
        <v>593</v>
      </c>
    </row>
    <row r="128" spans="1:22" x14ac:dyDescent="0.25">
      <c r="A128" t="s">
        <v>798</v>
      </c>
      <c r="B128" t="s">
        <v>731</v>
      </c>
      <c r="C128" t="s">
        <v>2154</v>
      </c>
      <c r="D128" t="s">
        <v>593</v>
      </c>
      <c r="J128" t="s">
        <v>3358</v>
      </c>
      <c r="K128">
        <v>4</v>
      </c>
      <c r="L128" t="s">
        <v>3324</v>
      </c>
      <c r="M128" t="str">
        <f t="shared" si="30"/>
        <v>4D</v>
      </c>
      <c r="N128">
        <v>7</v>
      </c>
      <c r="O128" t="str">
        <f t="shared" si="31"/>
        <v>BUS-4D-7</v>
      </c>
      <c r="S128" t="s">
        <v>798</v>
      </c>
      <c r="T128" t="s">
        <v>731</v>
      </c>
      <c r="U128" t="s">
        <v>2154</v>
      </c>
      <c r="V128" t="s">
        <v>593</v>
      </c>
    </row>
    <row r="129" spans="1:22" x14ac:dyDescent="0.25">
      <c r="A129" t="s">
        <v>733</v>
      </c>
      <c r="B129" t="s">
        <v>731</v>
      </c>
      <c r="C129" t="s">
        <v>2083</v>
      </c>
      <c r="D129" t="s">
        <v>603</v>
      </c>
      <c r="J129" t="s">
        <v>3358</v>
      </c>
      <c r="K129">
        <v>4</v>
      </c>
      <c r="L129" t="s">
        <v>3324</v>
      </c>
      <c r="M129" t="str">
        <f t="shared" si="30"/>
        <v>4D</v>
      </c>
      <c r="N129">
        <v>8</v>
      </c>
      <c r="O129" t="str">
        <f t="shared" si="31"/>
        <v>BUS-4D-8</v>
      </c>
      <c r="S129" t="s">
        <v>733</v>
      </c>
      <c r="T129" t="s">
        <v>731</v>
      </c>
      <c r="U129" t="s">
        <v>2083</v>
      </c>
      <c r="V129" t="s">
        <v>603</v>
      </c>
    </row>
    <row r="130" spans="1:22" x14ac:dyDescent="0.25">
      <c r="A130" t="s">
        <v>733</v>
      </c>
      <c r="B130" t="s">
        <v>731</v>
      </c>
      <c r="C130" t="s">
        <v>2203</v>
      </c>
      <c r="D130" t="s">
        <v>603</v>
      </c>
      <c r="J130" t="s">
        <v>3358</v>
      </c>
      <c r="K130">
        <v>5</v>
      </c>
      <c r="L130" t="s">
        <v>3321</v>
      </c>
      <c r="M130" t="str">
        <f>K130&amp;L130</f>
        <v>5A</v>
      </c>
      <c r="N130">
        <v>1</v>
      </c>
      <c r="O130" t="str">
        <f>_xlfn.TEXTJOIN("-",TRUE,J130,M130,N130)</f>
        <v>BUS-5A-1</v>
      </c>
      <c r="S130" t="s">
        <v>733</v>
      </c>
      <c r="T130" t="s">
        <v>731</v>
      </c>
      <c r="U130" t="s">
        <v>2203</v>
      </c>
      <c r="V130" t="s">
        <v>603</v>
      </c>
    </row>
    <row r="131" spans="1:22" x14ac:dyDescent="0.25">
      <c r="A131" t="s">
        <v>743</v>
      </c>
      <c r="B131" t="s">
        <v>731</v>
      </c>
      <c r="C131" t="s">
        <v>2093</v>
      </c>
      <c r="D131" t="s">
        <v>604</v>
      </c>
      <c r="J131" t="s">
        <v>3358</v>
      </c>
      <c r="K131">
        <v>5</v>
      </c>
      <c r="L131" t="s">
        <v>3321</v>
      </c>
      <c r="M131" t="str">
        <f t="shared" ref="M131:M137" si="32">K131&amp;L131</f>
        <v>5A</v>
      </c>
      <c r="N131">
        <v>2</v>
      </c>
      <c r="O131" t="str">
        <f t="shared" ref="O131:O137" si="33">_xlfn.TEXTJOIN("-",TRUE,J131,M131,N131)</f>
        <v>BUS-5A-2</v>
      </c>
      <c r="S131" t="s">
        <v>743</v>
      </c>
      <c r="T131" t="s">
        <v>731</v>
      </c>
      <c r="U131" t="s">
        <v>2093</v>
      </c>
      <c r="V131" t="s">
        <v>604</v>
      </c>
    </row>
    <row r="132" spans="1:22" x14ac:dyDescent="0.25">
      <c r="A132" t="s">
        <v>743</v>
      </c>
      <c r="B132" t="s">
        <v>731</v>
      </c>
      <c r="C132" t="s">
        <v>2209</v>
      </c>
      <c r="D132" t="s">
        <v>604</v>
      </c>
      <c r="J132" t="s">
        <v>3358</v>
      </c>
      <c r="K132">
        <v>5</v>
      </c>
      <c r="L132" t="s">
        <v>3321</v>
      </c>
      <c r="M132" t="str">
        <f t="shared" si="32"/>
        <v>5A</v>
      </c>
      <c r="N132">
        <v>3</v>
      </c>
      <c r="O132" t="str">
        <f t="shared" si="33"/>
        <v>BUS-5A-3</v>
      </c>
      <c r="S132" t="s">
        <v>743</v>
      </c>
      <c r="T132" t="s">
        <v>731</v>
      </c>
      <c r="U132" t="s">
        <v>2209</v>
      </c>
      <c r="V132" t="s">
        <v>604</v>
      </c>
    </row>
    <row r="133" spans="1:22" x14ac:dyDescent="0.25">
      <c r="A133" t="s">
        <v>737</v>
      </c>
      <c r="B133" t="s">
        <v>731</v>
      </c>
      <c r="C133" t="s">
        <v>2087</v>
      </c>
      <c r="D133" t="s">
        <v>605</v>
      </c>
      <c r="J133" t="s">
        <v>3358</v>
      </c>
      <c r="K133">
        <v>5</v>
      </c>
      <c r="L133" t="s">
        <v>3321</v>
      </c>
      <c r="M133" t="str">
        <f t="shared" si="32"/>
        <v>5A</v>
      </c>
      <c r="N133">
        <v>4</v>
      </c>
      <c r="O133" t="str">
        <f t="shared" si="33"/>
        <v>BUS-5A-4</v>
      </c>
      <c r="S133" t="s">
        <v>737</v>
      </c>
      <c r="T133" t="s">
        <v>731</v>
      </c>
      <c r="U133" t="s">
        <v>2087</v>
      </c>
      <c r="V133" t="s">
        <v>605</v>
      </c>
    </row>
    <row r="134" spans="1:22" x14ac:dyDescent="0.25">
      <c r="A134" t="s">
        <v>737</v>
      </c>
      <c r="B134" t="s">
        <v>731</v>
      </c>
      <c r="C134" t="s">
        <v>2200</v>
      </c>
      <c r="D134" t="s">
        <v>605</v>
      </c>
      <c r="J134" t="s">
        <v>3358</v>
      </c>
      <c r="K134">
        <v>5</v>
      </c>
      <c r="L134" t="s">
        <v>3321</v>
      </c>
      <c r="M134" t="str">
        <f t="shared" si="32"/>
        <v>5A</v>
      </c>
      <c r="N134">
        <v>5</v>
      </c>
      <c r="O134" t="str">
        <f t="shared" si="33"/>
        <v>BUS-5A-5</v>
      </c>
      <c r="S134" t="s">
        <v>737</v>
      </c>
      <c r="T134" t="s">
        <v>731</v>
      </c>
      <c r="U134" t="s">
        <v>2200</v>
      </c>
      <c r="V134" t="s">
        <v>605</v>
      </c>
    </row>
    <row r="135" spans="1:22" x14ac:dyDescent="0.25">
      <c r="A135" t="s">
        <v>744</v>
      </c>
      <c r="B135" t="s">
        <v>731</v>
      </c>
      <c r="C135" t="s">
        <v>2094</v>
      </c>
      <c r="D135" t="s">
        <v>606</v>
      </c>
      <c r="J135" t="s">
        <v>3358</v>
      </c>
      <c r="K135">
        <v>5</v>
      </c>
      <c r="L135" t="s">
        <v>3321</v>
      </c>
      <c r="M135" t="str">
        <f t="shared" si="32"/>
        <v>5A</v>
      </c>
      <c r="N135">
        <v>6</v>
      </c>
      <c r="O135" t="str">
        <f t="shared" si="33"/>
        <v>BUS-5A-6</v>
      </c>
      <c r="S135" t="s">
        <v>744</v>
      </c>
      <c r="T135" t="s">
        <v>731</v>
      </c>
      <c r="U135" t="s">
        <v>2094</v>
      </c>
      <c r="V135" t="s">
        <v>606</v>
      </c>
    </row>
    <row r="136" spans="1:22" x14ac:dyDescent="0.25">
      <c r="A136" t="s">
        <v>744</v>
      </c>
      <c r="B136" t="s">
        <v>731</v>
      </c>
      <c r="C136" t="s">
        <v>2210</v>
      </c>
      <c r="D136" t="s">
        <v>606</v>
      </c>
      <c r="J136" t="s">
        <v>3358</v>
      </c>
      <c r="K136">
        <v>5</v>
      </c>
      <c r="L136" t="s">
        <v>3321</v>
      </c>
      <c r="M136" t="str">
        <f t="shared" si="32"/>
        <v>5A</v>
      </c>
      <c r="N136">
        <v>7</v>
      </c>
      <c r="O136" t="str">
        <f t="shared" si="33"/>
        <v>BUS-5A-7</v>
      </c>
      <c r="S136" t="s">
        <v>744</v>
      </c>
      <c r="T136" t="s">
        <v>731</v>
      </c>
      <c r="U136" t="s">
        <v>2210</v>
      </c>
      <c r="V136" t="s">
        <v>606</v>
      </c>
    </row>
    <row r="137" spans="1:22" x14ac:dyDescent="0.25">
      <c r="A137" t="s">
        <v>749</v>
      </c>
      <c r="B137" t="s">
        <v>731</v>
      </c>
      <c r="C137" t="s">
        <v>2099</v>
      </c>
      <c r="D137" t="s">
        <v>607</v>
      </c>
      <c r="J137" t="s">
        <v>3358</v>
      </c>
      <c r="K137">
        <v>5</v>
      </c>
      <c r="L137" t="s">
        <v>3321</v>
      </c>
      <c r="M137" t="str">
        <f t="shared" si="32"/>
        <v>5A</v>
      </c>
      <c r="N137">
        <v>8</v>
      </c>
      <c r="O137" t="str">
        <f t="shared" si="33"/>
        <v>BUS-5A-8</v>
      </c>
      <c r="S137" t="s">
        <v>749</v>
      </c>
      <c r="T137" t="s">
        <v>731</v>
      </c>
      <c r="U137" t="s">
        <v>2099</v>
      </c>
      <c r="V137" t="s">
        <v>607</v>
      </c>
    </row>
    <row r="138" spans="1:22" x14ac:dyDescent="0.25">
      <c r="A138" t="s">
        <v>749</v>
      </c>
      <c r="B138" t="s">
        <v>731</v>
      </c>
      <c r="C138" t="s">
        <v>2188</v>
      </c>
      <c r="D138" t="s">
        <v>607</v>
      </c>
      <c r="J138" t="s">
        <v>3358</v>
      </c>
      <c r="K138">
        <v>5</v>
      </c>
      <c r="L138" t="s">
        <v>3322</v>
      </c>
      <c r="M138" t="str">
        <f>K138&amp;L138</f>
        <v>5B</v>
      </c>
      <c r="N138">
        <v>1</v>
      </c>
      <c r="O138" t="str">
        <f>_xlfn.TEXTJOIN("-",TRUE,J138,M138,N138)</f>
        <v>BUS-5B-1</v>
      </c>
      <c r="S138" t="s">
        <v>749</v>
      </c>
      <c r="T138" t="s">
        <v>731</v>
      </c>
      <c r="U138" t="s">
        <v>2188</v>
      </c>
      <c r="V138" t="s">
        <v>607</v>
      </c>
    </row>
    <row r="139" spans="1:22" x14ac:dyDescent="0.25">
      <c r="A139" t="s">
        <v>761</v>
      </c>
      <c r="B139" t="s">
        <v>731</v>
      </c>
      <c r="C139" t="s">
        <v>2111</v>
      </c>
      <c r="D139" t="s">
        <v>608</v>
      </c>
      <c r="J139" t="s">
        <v>3358</v>
      </c>
      <c r="K139">
        <v>5</v>
      </c>
      <c r="L139" t="s">
        <v>3322</v>
      </c>
      <c r="M139" t="str">
        <f t="shared" ref="M139:M145" si="34">K139&amp;L139</f>
        <v>5B</v>
      </c>
      <c r="N139">
        <v>2</v>
      </c>
      <c r="O139" t="str">
        <f t="shared" ref="O139:O145" si="35">_xlfn.TEXTJOIN("-",TRUE,J139,M139,N139)</f>
        <v>BUS-5B-2</v>
      </c>
      <c r="S139" t="s">
        <v>761</v>
      </c>
      <c r="T139" t="s">
        <v>731</v>
      </c>
      <c r="U139" t="s">
        <v>2111</v>
      </c>
      <c r="V139" t="s">
        <v>608</v>
      </c>
    </row>
    <row r="140" spans="1:22" x14ac:dyDescent="0.25">
      <c r="A140" t="s">
        <v>761</v>
      </c>
      <c r="B140" t="s">
        <v>731</v>
      </c>
      <c r="C140" t="s">
        <v>2196</v>
      </c>
      <c r="D140" t="s">
        <v>608</v>
      </c>
      <c r="J140" t="s">
        <v>3358</v>
      </c>
      <c r="K140">
        <v>5</v>
      </c>
      <c r="L140" t="s">
        <v>3322</v>
      </c>
      <c r="M140" t="str">
        <f t="shared" si="34"/>
        <v>5B</v>
      </c>
      <c r="N140">
        <v>3</v>
      </c>
      <c r="O140" t="str">
        <f t="shared" si="35"/>
        <v>BUS-5B-3</v>
      </c>
      <c r="S140" t="s">
        <v>761</v>
      </c>
      <c r="T140" t="s">
        <v>731</v>
      </c>
      <c r="U140" t="s">
        <v>2196</v>
      </c>
      <c r="V140" t="s">
        <v>608</v>
      </c>
    </row>
    <row r="141" spans="1:22" x14ac:dyDescent="0.25">
      <c r="A141" t="s">
        <v>826</v>
      </c>
      <c r="B141" t="s">
        <v>731</v>
      </c>
      <c r="C141" t="s">
        <v>2185</v>
      </c>
      <c r="D141" t="s">
        <v>609</v>
      </c>
      <c r="J141" t="s">
        <v>3358</v>
      </c>
      <c r="K141">
        <v>5</v>
      </c>
      <c r="L141" t="s">
        <v>3322</v>
      </c>
      <c r="M141" t="str">
        <f t="shared" si="34"/>
        <v>5B</v>
      </c>
      <c r="N141">
        <v>4</v>
      </c>
      <c r="O141" t="str">
        <f t="shared" si="35"/>
        <v>BUS-5B-4</v>
      </c>
      <c r="S141" t="s">
        <v>826</v>
      </c>
      <c r="T141" t="s">
        <v>731</v>
      </c>
      <c r="U141" t="s">
        <v>2185</v>
      </c>
      <c r="V141" t="s">
        <v>609</v>
      </c>
    </row>
    <row r="142" spans="1:22" x14ac:dyDescent="0.25">
      <c r="A142" t="s">
        <v>826</v>
      </c>
      <c r="B142" t="s">
        <v>731</v>
      </c>
      <c r="C142" t="s">
        <v>2192</v>
      </c>
      <c r="D142" t="s">
        <v>609</v>
      </c>
      <c r="J142" t="s">
        <v>3358</v>
      </c>
      <c r="K142">
        <v>5</v>
      </c>
      <c r="L142" t="s">
        <v>3322</v>
      </c>
      <c r="M142" t="str">
        <f t="shared" si="34"/>
        <v>5B</v>
      </c>
      <c r="N142">
        <v>5</v>
      </c>
      <c r="O142" t="str">
        <f t="shared" si="35"/>
        <v>BUS-5B-5</v>
      </c>
      <c r="S142" t="s">
        <v>826</v>
      </c>
      <c r="T142" t="s">
        <v>731</v>
      </c>
      <c r="U142" t="s">
        <v>2192</v>
      </c>
      <c r="V142" t="s">
        <v>609</v>
      </c>
    </row>
    <row r="143" spans="1:22" x14ac:dyDescent="0.25">
      <c r="A143" t="s">
        <v>795</v>
      </c>
      <c r="B143" t="s">
        <v>731</v>
      </c>
      <c r="C143" t="s">
        <v>2145</v>
      </c>
      <c r="D143" t="s">
        <v>610</v>
      </c>
      <c r="J143" t="s">
        <v>3358</v>
      </c>
      <c r="K143">
        <v>5</v>
      </c>
      <c r="L143" t="s">
        <v>3322</v>
      </c>
      <c r="M143" t="str">
        <f t="shared" si="34"/>
        <v>5B</v>
      </c>
      <c r="N143">
        <v>6</v>
      </c>
      <c r="O143" t="str">
        <f t="shared" si="35"/>
        <v>BUS-5B-6</v>
      </c>
      <c r="S143" t="s">
        <v>795</v>
      </c>
      <c r="T143" t="s">
        <v>731</v>
      </c>
      <c r="U143" t="s">
        <v>2145</v>
      </c>
      <c r="V143" t="s">
        <v>610</v>
      </c>
    </row>
    <row r="144" spans="1:22" x14ac:dyDescent="0.25">
      <c r="A144" t="s">
        <v>795</v>
      </c>
      <c r="B144" t="s">
        <v>731</v>
      </c>
      <c r="C144" t="s">
        <v>2147</v>
      </c>
      <c r="D144" t="s">
        <v>610</v>
      </c>
      <c r="J144" t="s">
        <v>3358</v>
      </c>
      <c r="K144">
        <v>5</v>
      </c>
      <c r="L144" t="s">
        <v>3322</v>
      </c>
      <c r="M144" t="str">
        <f t="shared" si="34"/>
        <v>5B</v>
      </c>
      <c r="N144">
        <v>7</v>
      </c>
      <c r="O144" t="str">
        <f t="shared" si="35"/>
        <v>BUS-5B-7</v>
      </c>
      <c r="S144" t="s">
        <v>795</v>
      </c>
      <c r="T144" t="s">
        <v>731</v>
      </c>
      <c r="U144" t="s">
        <v>2147</v>
      </c>
      <c r="V144" t="s">
        <v>610</v>
      </c>
    </row>
    <row r="145" spans="1:22" x14ac:dyDescent="0.25">
      <c r="A145" t="s">
        <v>734</v>
      </c>
      <c r="B145" t="s">
        <v>731</v>
      </c>
      <c r="C145" t="s">
        <v>2084</v>
      </c>
      <c r="D145" t="s">
        <v>620</v>
      </c>
      <c r="J145" t="s">
        <v>3358</v>
      </c>
      <c r="K145">
        <v>5</v>
      </c>
      <c r="L145" t="s">
        <v>3322</v>
      </c>
      <c r="M145" t="str">
        <f t="shared" si="34"/>
        <v>5B</v>
      </c>
      <c r="N145">
        <v>8</v>
      </c>
      <c r="O145" t="str">
        <f t="shared" si="35"/>
        <v>BUS-5B-8</v>
      </c>
      <c r="S145" t="s">
        <v>734</v>
      </c>
      <c r="T145" t="s">
        <v>731</v>
      </c>
      <c r="U145" t="s">
        <v>2084</v>
      </c>
      <c r="V145" t="s">
        <v>620</v>
      </c>
    </row>
    <row r="146" spans="1:22" x14ac:dyDescent="0.25">
      <c r="A146" t="s">
        <v>734</v>
      </c>
      <c r="B146" t="s">
        <v>731</v>
      </c>
      <c r="C146" t="s">
        <v>2202</v>
      </c>
      <c r="D146" t="s">
        <v>620</v>
      </c>
      <c r="J146" t="s">
        <v>3358</v>
      </c>
      <c r="K146">
        <v>5</v>
      </c>
      <c r="L146" t="s">
        <v>3323</v>
      </c>
      <c r="M146" t="str">
        <f>K146&amp;L146</f>
        <v>5C</v>
      </c>
      <c r="N146">
        <v>1</v>
      </c>
      <c r="O146" t="str">
        <f>_xlfn.TEXTJOIN("-",TRUE,J146,M146,N146)</f>
        <v>BUS-5C-1</v>
      </c>
      <c r="S146" t="s">
        <v>734</v>
      </c>
      <c r="T146" t="s">
        <v>731</v>
      </c>
      <c r="U146" t="s">
        <v>2202</v>
      </c>
      <c r="V146" t="s">
        <v>620</v>
      </c>
    </row>
    <row r="147" spans="1:22" x14ac:dyDescent="0.25">
      <c r="A147" t="s">
        <v>745</v>
      </c>
      <c r="B147" t="s">
        <v>731</v>
      </c>
      <c r="C147" t="s">
        <v>2095</v>
      </c>
      <c r="D147" t="s">
        <v>621</v>
      </c>
      <c r="J147" t="s">
        <v>3358</v>
      </c>
      <c r="K147">
        <v>5</v>
      </c>
      <c r="L147" t="s">
        <v>3323</v>
      </c>
      <c r="M147" t="str">
        <f t="shared" ref="M147:M153" si="36">K147&amp;L147</f>
        <v>5C</v>
      </c>
      <c r="N147">
        <v>2</v>
      </c>
      <c r="O147" t="str">
        <f t="shared" ref="O147:O153" si="37">_xlfn.TEXTJOIN("-",TRUE,J147,M147,N147)</f>
        <v>BUS-5C-2</v>
      </c>
      <c r="S147" t="s">
        <v>745</v>
      </c>
      <c r="T147" t="s">
        <v>731</v>
      </c>
      <c r="U147" t="s">
        <v>2095</v>
      </c>
      <c r="V147" t="s">
        <v>621</v>
      </c>
    </row>
    <row r="148" spans="1:22" x14ac:dyDescent="0.25">
      <c r="A148" t="s">
        <v>745</v>
      </c>
      <c r="B148" t="s">
        <v>731</v>
      </c>
      <c r="C148" t="s">
        <v>2211</v>
      </c>
      <c r="D148" t="s">
        <v>621</v>
      </c>
      <c r="J148" t="s">
        <v>3358</v>
      </c>
      <c r="K148">
        <v>5</v>
      </c>
      <c r="L148" t="s">
        <v>3323</v>
      </c>
      <c r="M148" t="str">
        <f t="shared" si="36"/>
        <v>5C</v>
      </c>
      <c r="N148">
        <v>3</v>
      </c>
      <c r="O148" t="str">
        <f t="shared" si="37"/>
        <v>BUS-5C-3</v>
      </c>
      <c r="S148" t="s">
        <v>745</v>
      </c>
      <c r="T148" t="s">
        <v>731</v>
      </c>
      <c r="U148" t="s">
        <v>2211</v>
      </c>
      <c r="V148" t="s">
        <v>621</v>
      </c>
    </row>
    <row r="149" spans="1:22" x14ac:dyDescent="0.25">
      <c r="A149" t="s">
        <v>738</v>
      </c>
      <c r="B149" t="s">
        <v>731</v>
      </c>
      <c r="C149" t="s">
        <v>2088</v>
      </c>
      <c r="D149" t="s">
        <v>622</v>
      </c>
      <c r="J149" t="s">
        <v>3358</v>
      </c>
      <c r="K149">
        <v>5</v>
      </c>
      <c r="L149" t="s">
        <v>3323</v>
      </c>
      <c r="M149" t="str">
        <f t="shared" si="36"/>
        <v>5C</v>
      </c>
      <c r="N149">
        <v>4</v>
      </c>
      <c r="O149" t="str">
        <f t="shared" si="37"/>
        <v>BUS-5C-4</v>
      </c>
      <c r="S149" t="s">
        <v>738</v>
      </c>
      <c r="T149" t="s">
        <v>731</v>
      </c>
      <c r="U149" t="s">
        <v>2088</v>
      </c>
      <c r="V149" t="s">
        <v>622</v>
      </c>
    </row>
    <row r="150" spans="1:22" x14ac:dyDescent="0.25">
      <c r="A150" t="s">
        <v>738</v>
      </c>
      <c r="B150" t="s">
        <v>731</v>
      </c>
      <c r="C150" t="s">
        <v>2201</v>
      </c>
      <c r="D150" t="s">
        <v>622</v>
      </c>
      <c r="J150" t="s">
        <v>3358</v>
      </c>
      <c r="K150">
        <v>5</v>
      </c>
      <c r="L150" t="s">
        <v>3323</v>
      </c>
      <c r="M150" t="str">
        <f t="shared" si="36"/>
        <v>5C</v>
      </c>
      <c r="N150">
        <v>5</v>
      </c>
      <c r="O150" t="str">
        <f t="shared" si="37"/>
        <v>BUS-5C-5</v>
      </c>
      <c r="S150" t="s">
        <v>738</v>
      </c>
      <c r="T150" t="s">
        <v>731</v>
      </c>
      <c r="U150" t="s">
        <v>2201</v>
      </c>
      <c r="V150" t="s">
        <v>622</v>
      </c>
    </row>
    <row r="151" spans="1:22" x14ac:dyDescent="0.25">
      <c r="A151" t="s">
        <v>746</v>
      </c>
      <c r="B151" t="s">
        <v>731</v>
      </c>
      <c r="C151" t="s">
        <v>2096</v>
      </c>
      <c r="D151" t="s">
        <v>623</v>
      </c>
      <c r="J151" t="s">
        <v>3358</v>
      </c>
      <c r="K151">
        <v>5</v>
      </c>
      <c r="L151" t="s">
        <v>3323</v>
      </c>
      <c r="M151" t="str">
        <f t="shared" si="36"/>
        <v>5C</v>
      </c>
      <c r="N151">
        <v>6</v>
      </c>
      <c r="O151" t="str">
        <f t="shared" si="37"/>
        <v>BUS-5C-6</v>
      </c>
      <c r="S151" t="s">
        <v>746</v>
      </c>
      <c r="T151" t="s">
        <v>731</v>
      </c>
      <c r="U151" t="s">
        <v>2096</v>
      </c>
      <c r="V151" t="s">
        <v>623</v>
      </c>
    </row>
    <row r="152" spans="1:22" x14ac:dyDescent="0.25">
      <c r="A152" t="s">
        <v>746</v>
      </c>
      <c r="B152" t="s">
        <v>731</v>
      </c>
      <c r="C152" t="s">
        <v>2212</v>
      </c>
      <c r="D152" t="s">
        <v>623</v>
      </c>
      <c r="J152" t="s">
        <v>3358</v>
      </c>
      <c r="K152">
        <v>5</v>
      </c>
      <c r="L152" t="s">
        <v>3323</v>
      </c>
      <c r="M152" t="str">
        <f t="shared" si="36"/>
        <v>5C</v>
      </c>
      <c r="N152">
        <v>7</v>
      </c>
      <c r="O152" t="str">
        <f t="shared" si="37"/>
        <v>BUS-5C-7</v>
      </c>
      <c r="S152" t="s">
        <v>746</v>
      </c>
      <c r="T152" t="s">
        <v>731</v>
      </c>
      <c r="U152" t="s">
        <v>2212</v>
      </c>
      <c r="V152" t="s">
        <v>623</v>
      </c>
    </row>
    <row r="153" spans="1:22" x14ac:dyDescent="0.25">
      <c r="A153" t="s">
        <v>750</v>
      </c>
      <c r="B153" t="s">
        <v>731</v>
      </c>
      <c r="C153" t="s">
        <v>2100</v>
      </c>
      <c r="D153" t="s">
        <v>624</v>
      </c>
      <c r="J153" t="s">
        <v>3358</v>
      </c>
      <c r="K153">
        <v>5</v>
      </c>
      <c r="L153" t="s">
        <v>3323</v>
      </c>
      <c r="M153" t="str">
        <f t="shared" si="36"/>
        <v>5C</v>
      </c>
      <c r="N153">
        <v>8</v>
      </c>
      <c r="O153" t="str">
        <f t="shared" si="37"/>
        <v>BUS-5C-8</v>
      </c>
      <c r="S153" t="s">
        <v>750</v>
      </c>
      <c r="T153" t="s">
        <v>731</v>
      </c>
      <c r="U153" t="s">
        <v>2100</v>
      </c>
      <c r="V153" t="s">
        <v>624</v>
      </c>
    </row>
    <row r="154" spans="1:22" x14ac:dyDescent="0.25">
      <c r="A154" t="s">
        <v>750</v>
      </c>
      <c r="B154" t="s">
        <v>731</v>
      </c>
      <c r="C154" t="s">
        <v>2187</v>
      </c>
      <c r="D154" t="s">
        <v>624</v>
      </c>
      <c r="J154" t="s">
        <v>3358</v>
      </c>
      <c r="K154">
        <v>5</v>
      </c>
      <c r="L154" t="s">
        <v>3324</v>
      </c>
      <c r="M154" t="str">
        <f>K154&amp;L154</f>
        <v>5D</v>
      </c>
      <c r="N154">
        <v>1</v>
      </c>
      <c r="O154" t="str">
        <f>_xlfn.TEXTJOIN("-",TRUE,J154,M154,N154)</f>
        <v>BUS-5D-1</v>
      </c>
      <c r="S154" t="s">
        <v>750</v>
      </c>
      <c r="T154" t="s">
        <v>731</v>
      </c>
      <c r="U154" t="s">
        <v>2187</v>
      </c>
      <c r="V154" t="s">
        <v>624</v>
      </c>
    </row>
    <row r="155" spans="1:22" x14ac:dyDescent="0.25">
      <c r="A155" t="s">
        <v>762</v>
      </c>
      <c r="B155" t="s">
        <v>731</v>
      </c>
      <c r="C155" t="s">
        <v>2112</v>
      </c>
      <c r="D155" t="s">
        <v>625</v>
      </c>
      <c r="J155" t="s">
        <v>3358</v>
      </c>
      <c r="K155">
        <v>5</v>
      </c>
      <c r="L155" t="s">
        <v>3324</v>
      </c>
      <c r="M155" t="str">
        <f t="shared" ref="M155:M161" si="38">K155&amp;L155</f>
        <v>5D</v>
      </c>
      <c r="N155">
        <v>2</v>
      </c>
      <c r="O155" t="str">
        <f t="shared" ref="O155:O161" si="39">_xlfn.TEXTJOIN("-",TRUE,J155,M155,N155)</f>
        <v>BUS-5D-2</v>
      </c>
      <c r="S155" t="s">
        <v>762</v>
      </c>
      <c r="T155" t="s">
        <v>731</v>
      </c>
      <c r="U155" t="s">
        <v>2112</v>
      </c>
      <c r="V155" t="s">
        <v>625</v>
      </c>
    </row>
    <row r="156" spans="1:22" x14ac:dyDescent="0.25">
      <c r="A156" t="s">
        <v>762</v>
      </c>
      <c r="B156" t="s">
        <v>731</v>
      </c>
      <c r="C156" t="s">
        <v>2197</v>
      </c>
      <c r="D156" t="s">
        <v>625</v>
      </c>
      <c r="J156" t="s">
        <v>3358</v>
      </c>
      <c r="K156">
        <v>5</v>
      </c>
      <c r="L156" t="s">
        <v>3324</v>
      </c>
      <c r="M156" t="str">
        <f t="shared" si="38"/>
        <v>5D</v>
      </c>
      <c r="N156">
        <v>3</v>
      </c>
      <c r="O156" t="str">
        <f t="shared" si="39"/>
        <v>BUS-5D-3</v>
      </c>
      <c r="S156" t="s">
        <v>762</v>
      </c>
      <c r="T156" t="s">
        <v>731</v>
      </c>
      <c r="U156" t="s">
        <v>2197</v>
      </c>
      <c r="V156" t="s">
        <v>625</v>
      </c>
    </row>
    <row r="157" spans="1:22" x14ac:dyDescent="0.25">
      <c r="A157" t="s">
        <v>827</v>
      </c>
      <c r="B157" t="s">
        <v>731</v>
      </c>
      <c r="C157" t="s">
        <v>2186</v>
      </c>
      <c r="D157" t="s">
        <v>626</v>
      </c>
      <c r="J157" t="s">
        <v>3358</v>
      </c>
      <c r="K157">
        <v>5</v>
      </c>
      <c r="L157" t="s">
        <v>3324</v>
      </c>
      <c r="M157" t="str">
        <f t="shared" si="38"/>
        <v>5D</v>
      </c>
      <c r="N157">
        <v>4</v>
      </c>
      <c r="O157" t="str">
        <f t="shared" si="39"/>
        <v>BUS-5D-4</v>
      </c>
      <c r="S157" t="s">
        <v>827</v>
      </c>
      <c r="T157" t="s">
        <v>731</v>
      </c>
      <c r="U157" t="s">
        <v>2186</v>
      </c>
      <c r="V157" t="s">
        <v>626</v>
      </c>
    </row>
    <row r="158" spans="1:22" x14ac:dyDescent="0.25">
      <c r="A158" t="s">
        <v>827</v>
      </c>
      <c r="B158" t="s">
        <v>731</v>
      </c>
      <c r="C158" t="s">
        <v>2193</v>
      </c>
      <c r="D158" t="s">
        <v>626</v>
      </c>
      <c r="J158" t="s">
        <v>3358</v>
      </c>
      <c r="K158">
        <v>5</v>
      </c>
      <c r="L158" t="s">
        <v>3324</v>
      </c>
      <c r="M158" t="str">
        <f t="shared" si="38"/>
        <v>5D</v>
      </c>
      <c r="N158">
        <v>5</v>
      </c>
      <c r="O158" t="str">
        <f t="shared" si="39"/>
        <v>BUS-5D-5</v>
      </c>
      <c r="S158" t="s">
        <v>827</v>
      </c>
      <c r="T158" t="s">
        <v>731</v>
      </c>
      <c r="U158" t="s">
        <v>2193</v>
      </c>
      <c r="V158" t="s">
        <v>626</v>
      </c>
    </row>
    <row r="159" spans="1:22" x14ac:dyDescent="0.25">
      <c r="A159" t="s">
        <v>794</v>
      </c>
      <c r="B159" t="s">
        <v>731</v>
      </c>
      <c r="C159" t="s">
        <v>2144</v>
      </c>
      <c r="D159" t="s">
        <v>627</v>
      </c>
      <c r="J159" t="s">
        <v>3358</v>
      </c>
      <c r="K159">
        <v>5</v>
      </c>
      <c r="L159" t="s">
        <v>3324</v>
      </c>
      <c r="M159" t="str">
        <f t="shared" si="38"/>
        <v>5D</v>
      </c>
      <c r="N159">
        <v>6</v>
      </c>
      <c r="O159" t="str">
        <f t="shared" si="39"/>
        <v>BUS-5D-6</v>
      </c>
      <c r="S159" t="s">
        <v>794</v>
      </c>
      <c r="T159" t="s">
        <v>731</v>
      </c>
      <c r="U159" t="s">
        <v>2144</v>
      </c>
      <c r="V159" t="s">
        <v>627</v>
      </c>
    </row>
    <row r="160" spans="1:22" x14ac:dyDescent="0.25">
      <c r="A160" t="s">
        <v>794</v>
      </c>
      <c r="B160" t="s">
        <v>731</v>
      </c>
      <c r="C160" t="s">
        <v>2146</v>
      </c>
      <c r="D160" t="s">
        <v>627</v>
      </c>
      <c r="J160" t="s">
        <v>3358</v>
      </c>
      <c r="K160">
        <v>5</v>
      </c>
      <c r="L160" t="s">
        <v>3324</v>
      </c>
      <c r="M160" t="str">
        <f t="shared" si="38"/>
        <v>5D</v>
      </c>
      <c r="N160">
        <v>7</v>
      </c>
      <c r="O160" t="str">
        <f t="shared" si="39"/>
        <v>BUS-5D-7</v>
      </c>
      <c r="S160" t="s">
        <v>794</v>
      </c>
      <c r="T160" t="s">
        <v>731</v>
      </c>
      <c r="U160" t="s">
        <v>2146</v>
      </c>
      <c r="V160" t="s">
        <v>627</v>
      </c>
    </row>
    <row r="161" spans="1:22" x14ac:dyDescent="0.25">
      <c r="A161" t="s">
        <v>840</v>
      </c>
      <c r="B161" t="s">
        <v>731</v>
      </c>
      <c r="C161" t="s">
        <v>2237</v>
      </c>
      <c r="D161" t="s">
        <v>281</v>
      </c>
      <c r="J161" t="s">
        <v>3358</v>
      </c>
      <c r="K161">
        <v>5</v>
      </c>
      <c r="L161" t="s">
        <v>3324</v>
      </c>
      <c r="M161" t="str">
        <f t="shared" si="38"/>
        <v>5D</v>
      </c>
      <c r="N161">
        <v>8</v>
      </c>
      <c r="O161" t="str">
        <f t="shared" si="39"/>
        <v>BUS-5D-8</v>
      </c>
      <c r="S161" t="s">
        <v>840</v>
      </c>
      <c r="T161" t="s">
        <v>731</v>
      </c>
      <c r="U161" t="s">
        <v>2237</v>
      </c>
      <c r="V161" t="s">
        <v>281</v>
      </c>
    </row>
    <row r="162" spans="1:22" x14ac:dyDescent="0.25">
      <c r="A162" t="s">
        <v>842</v>
      </c>
      <c r="B162" t="s">
        <v>731</v>
      </c>
      <c r="C162" t="s">
        <v>2239</v>
      </c>
      <c r="D162" t="s">
        <v>282</v>
      </c>
      <c r="J162" t="s">
        <v>3358</v>
      </c>
      <c r="K162">
        <v>6</v>
      </c>
      <c r="L162" t="s">
        <v>3321</v>
      </c>
      <c r="M162" t="str">
        <f>K162&amp;L162</f>
        <v>6A</v>
      </c>
      <c r="N162">
        <v>1</v>
      </c>
      <c r="O162" t="str">
        <f>_xlfn.TEXTJOIN("-",TRUE,J162,M162,N162)</f>
        <v>BUS-6A-1</v>
      </c>
      <c r="S162" t="s">
        <v>842</v>
      </c>
      <c r="T162" t="s">
        <v>731</v>
      </c>
      <c r="U162" t="s">
        <v>2239</v>
      </c>
      <c r="V162" t="s">
        <v>282</v>
      </c>
    </row>
    <row r="163" spans="1:22" x14ac:dyDescent="0.25">
      <c r="A163" t="s">
        <v>844</v>
      </c>
      <c r="B163" t="s">
        <v>731</v>
      </c>
      <c r="C163" t="s">
        <v>2241</v>
      </c>
      <c r="D163" t="s">
        <v>283</v>
      </c>
      <c r="J163" t="s">
        <v>3358</v>
      </c>
      <c r="K163">
        <v>6</v>
      </c>
      <c r="L163" t="s">
        <v>3321</v>
      </c>
      <c r="M163" t="str">
        <f t="shared" ref="M163:M167" si="40">K163&amp;L163</f>
        <v>6A</v>
      </c>
      <c r="N163">
        <v>2</v>
      </c>
      <c r="O163" t="str">
        <f t="shared" ref="O163:O167" si="41">_xlfn.TEXTJOIN("-",TRUE,J163,M163,N163)</f>
        <v>BUS-6A-2</v>
      </c>
      <c r="S163" t="s">
        <v>844</v>
      </c>
      <c r="T163" t="s">
        <v>731</v>
      </c>
      <c r="U163" t="s">
        <v>2241</v>
      </c>
      <c r="V163" t="s">
        <v>283</v>
      </c>
    </row>
    <row r="164" spans="1:22" x14ac:dyDescent="0.25">
      <c r="A164" t="s">
        <v>846</v>
      </c>
      <c r="B164" t="s">
        <v>731</v>
      </c>
      <c r="C164" t="s">
        <v>2243</v>
      </c>
      <c r="D164" t="s">
        <v>284</v>
      </c>
      <c r="J164" t="s">
        <v>3358</v>
      </c>
      <c r="K164">
        <v>6</v>
      </c>
      <c r="L164" t="s">
        <v>3321</v>
      </c>
      <c r="M164" t="str">
        <f t="shared" si="40"/>
        <v>6A</v>
      </c>
      <c r="N164">
        <v>3</v>
      </c>
      <c r="O164" t="str">
        <f t="shared" si="41"/>
        <v>BUS-6A-3</v>
      </c>
      <c r="S164" t="s">
        <v>846</v>
      </c>
      <c r="T164" t="s">
        <v>731</v>
      </c>
      <c r="U164" t="s">
        <v>2243</v>
      </c>
      <c r="V164" t="s">
        <v>284</v>
      </c>
    </row>
    <row r="165" spans="1:22" x14ac:dyDescent="0.25">
      <c r="A165" t="s">
        <v>789</v>
      </c>
      <c r="B165" t="s">
        <v>731</v>
      </c>
      <c r="C165" t="s">
        <v>2139</v>
      </c>
      <c r="D165" t="s">
        <v>285</v>
      </c>
      <c r="J165" t="s">
        <v>3358</v>
      </c>
      <c r="K165">
        <v>6</v>
      </c>
      <c r="L165" t="s">
        <v>3321</v>
      </c>
      <c r="M165" t="str">
        <f t="shared" si="40"/>
        <v>6A</v>
      </c>
      <c r="N165">
        <v>4</v>
      </c>
      <c r="O165" t="str">
        <f t="shared" si="41"/>
        <v>BUS-6A-4</v>
      </c>
      <c r="S165" t="s">
        <v>789</v>
      </c>
      <c r="T165" t="s">
        <v>731</v>
      </c>
      <c r="U165" t="s">
        <v>2139</v>
      </c>
      <c r="V165" t="s">
        <v>285</v>
      </c>
    </row>
    <row r="166" spans="1:22" x14ac:dyDescent="0.25">
      <c r="A166" t="s">
        <v>790</v>
      </c>
      <c r="B166" t="s">
        <v>731</v>
      </c>
      <c r="C166" t="s">
        <v>2140</v>
      </c>
      <c r="D166" t="s">
        <v>286</v>
      </c>
      <c r="J166" t="s">
        <v>3358</v>
      </c>
      <c r="K166">
        <v>6</v>
      </c>
      <c r="L166" t="s">
        <v>3321</v>
      </c>
      <c r="M166" t="str">
        <f t="shared" si="40"/>
        <v>6A</v>
      </c>
      <c r="N166">
        <v>5</v>
      </c>
      <c r="O166" t="str">
        <f t="shared" si="41"/>
        <v>BUS-6A-5</v>
      </c>
      <c r="S166" t="s">
        <v>790</v>
      </c>
      <c r="T166" t="s">
        <v>731</v>
      </c>
      <c r="U166" t="s">
        <v>2140</v>
      </c>
      <c r="V166" t="s">
        <v>286</v>
      </c>
    </row>
    <row r="167" spans="1:22" x14ac:dyDescent="0.25">
      <c r="A167" t="s">
        <v>841</v>
      </c>
      <c r="B167" t="s">
        <v>731</v>
      </c>
      <c r="C167" t="s">
        <v>2238</v>
      </c>
      <c r="D167" t="s">
        <v>302</v>
      </c>
      <c r="J167" t="s">
        <v>3358</v>
      </c>
      <c r="K167">
        <v>6</v>
      </c>
      <c r="L167" t="s">
        <v>3321</v>
      </c>
      <c r="M167" t="str">
        <f t="shared" si="40"/>
        <v>6A</v>
      </c>
      <c r="N167">
        <v>6</v>
      </c>
      <c r="O167" t="str">
        <f t="shared" si="41"/>
        <v>BUS-6A-6</v>
      </c>
      <c r="S167" t="s">
        <v>841</v>
      </c>
      <c r="T167" t="s">
        <v>731</v>
      </c>
      <c r="U167" t="s">
        <v>2238</v>
      </c>
      <c r="V167" t="s">
        <v>302</v>
      </c>
    </row>
    <row r="168" spans="1:22" x14ac:dyDescent="0.25">
      <c r="A168" t="s">
        <v>847</v>
      </c>
      <c r="B168" t="s">
        <v>731</v>
      </c>
      <c r="C168" t="s">
        <v>2244</v>
      </c>
      <c r="D168" t="s">
        <v>303</v>
      </c>
      <c r="J168" t="s">
        <v>3358</v>
      </c>
      <c r="K168">
        <v>6</v>
      </c>
      <c r="L168" t="s">
        <v>3322</v>
      </c>
      <c r="M168" t="str">
        <f>K168&amp;L168</f>
        <v>6B</v>
      </c>
      <c r="N168">
        <v>1</v>
      </c>
      <c r="O168" t="str">
        <f>_xlfn.TEXTJOIN("-",TRUE,J168,M168,N168)</f>
        <v>BUS-6B-1</v>
      </c>
      <c r="S168" t="s">
        <v>847</v>
      </c>
      <c r="T168" t="s">
        <v>731</v>
      </c>
      <c r="U168" t="s">
        <v>2244</v>
      </c>
      <c r="V168" t="s">
        <v>303</v>
      </c>
    </row>
    <row r="169" spans="1:22" x14ac:dyDescent="0.25">
      <c r="A169" t="s">
        <v>849</v>
      </c>
      <c r="B169" t="s">
        <v>731</v>
      </c>
      <c r="C169" t="s">
        <v>2246</v>
      </c>
      <c r="D169" t="s">
        <v>304</v>
      </c>
      <c r="J169" t="s">
        <v>3358</v>
      </c>
      <c r="K169">
        <v>6</v>
      </c>
      <c r="L169" t="s">
        <v>3322</v>
      </c>
      <c r="M169" t="str">
        <f t="shared" ref="M169:M173" si="42">K169&amp;L169</f>
        <v>6B</v>
      </c>
      <c r="N169">
        <v>2</v>
      </c>
      <c r="O169" t="str">
        <f t="shared" ref="O169:O173" si="43">_xlfn.TEXTJOIN("-",TRUE,J169,M169,N169)</f>
        <v>BUS-6B-2</v>
      </c>
      <c r="S169" t="s">
        <v>849</v>
      </c>
      <c r="T169" t="s">
        <v>731</v>
      </c>
      <c r="U169" t="s">
        <v>2246</v>
      </c>
      <c r="V169" t="s">
        <v>304</v>
      </c>
    </row>
    <row r="170" spans="1:22" x14ac:dyDescent="0.25">
      <c r="A170" t="s">
        <v>851</v>
      </c>
      <c r="B170" t="s">
        <v>731</v>
      </c>
      <c r="C170" t="s">
        <v>2248</v>
      </c>
      <c r="D170" t="s">
        <v>305</v>
      </c>
      <c r="J170" t="s">
        <v>3358</v>
      </c>
      <c r="K170">
        <v>6</v>
      </c>
      <c r="L170" t="s">
        <v>3322</v>
      </c>
      <c r="M170" t="str">
        <f t="shared" si="42"/>
        <v>6B</v>
      </c>
      <c r="N170">
        <v>3</v>
      </c>
      <c r="O170" t="str">
        <f t="shared" si="43"/>
        <v>BUS-6B-3</v>
      </c>
      <c r="S170" t="s">
        <v>851</v>
      </c>
      <c r="T170" t="s">
        <v>731</v>
      </c>
      <c r="U170" t="s">
        <v>2248</v>
      </c>
      <c r="V170" t="s">
        <v>305</v>
      </c>
    </row>
    <row r="171" spans="1:22" x14ac:dyDescent="0.25">
      <c r="A171" t="s">
        <v>865</v>
      </c>
      <c r="B171" t="s">
        <v>731</v>
      </c>
      <c r="C171" t="s">
        <v>2262</v>
      </c>
      <c r="D171" t="s">
        <v>306</v>
      </c>
      <c r="J171" t="s">
        <v>3358</v>
      </c>
      <c r="K171">
        <v>6</v>
      </c>
      <c r="L171" t="s">
        <v>3322</v>
      </c>
      <c r="M171" t="str">
        <f t="shared" si="42"/>
        <v>6B</v>
      </c>
      <c r="N171">
        <v>4</v>
      </c>
      <c r="O171" t="str">
        <f t="shared" si="43"/>
        <v>BUS-6B-4</v>
      </c>
      <c r="S171" t="s">
        <v>865</v>
      </c>
      <c r="T171" t="s">
        <v>731</v>
      </c>
      <c r="U171" t="s">
        <v>2262</v>
      </c>
      <c r="V171" t="s">
        <v>306</v>
      </c>
    </row>
    <row r="172" spans="1:22" x14ac:dyDescent="0.25">
      <c r="A172" t="s">
        <v>791</v>
      </c>
      <c r="B172" t="s">
        <v>731</v>
      </c>
      <c r="C172" t="s">
        <v>2141</v>
      </c>
      <c r="D172" t="s">
        <v>307</v>
      </c>
      <c r="J172" t="s">
        <v>3358</v>
      </c>
      <c r="K172">
        <v>6</v>
      </c>
      <c r="L172" t="s">
        <v>3322</v>
      </c>
      <c r="M172" t="str">
        <f t="shared" si="42"/>
        <v>6B</v>
      </c>
      <c r="N172">
        <v>5</v>
      </c>
      <c r="O172" t="str">
        <f t="shared" si="43"/>
        <v>BUS-6B-5</v>
      </c>
      <c r="S172" t="s">
        <v>791</v>
      </c>
      <c r="T172" t="s">
        <v>731</v>
      </c>
      <c r="U172" t="s">
        <v>2141</v>
      </c>
      <c r="V172" t="s">
        <v>307</v>
      </c>
    </row>
    <row r="173" spans="1:22" x14ac:dyDescent="0.25">
      <c r="A173" t="s">
        <v>843</v>
      </c>
      <c r="B173" t="s">
        <v>731</v>
      </c>
      <c r="C173" t="s">
        <v>2240</v>
      </c>
      <c r="D173" t="s">
        <v>325</v>
      </c>
      <c r="J173" t="s">
        <v>3358</v>
      </c>
      <c r="K173">
        <v>6</v>
      </c>
      <c r="L173" t="s">
        <v>3322</v>
      </c>
      <c r="M173" t="str">
        <f t="shared" si="42"/>
        <v>6B</v>
      </c>
      <c r="N173">
        <v>6</v>
      </c>
      <c r="O173" t="str">
        <f t="shared" si="43"/>
        <v>BUS-6B-6</v>
      </c>
      <c r="S173" t="s">
        <v>843</v>
      </c>
      <c r="T173" t="s">
        <v>731</v>
      </c>
      <c r="U173" t="s">
        <v>2240</v>
      </c>
      <c r="V173" t="s">
        <v>325</v>
      </c>
    </row>
    <row r="174" spans="1:22" x14ac:dyDescent="0.25">
      <c r="A174" t="s">
        <v>848</v>
      </c>
      <c r="B174" t="s">
        <v>731</v>
      </c>
      <c r="C174" t="s">
        <v>2245</v>
      </c>
      <c r="D174" t="s">
        <v>326</v>
      </c>
      <c r="J174" t="s">
        <v>3358</v>
      </c>
      <c r="K174">
        <v>6</v>
      </c>
      <c r="L174" t="s">
        <v>3323</v>
      </c>
      <c r="M174" t="str">
        <f>K174&amp;L174</f>
        <v>6C</v>
      </c>
      <c r="N174">
        <v>1</v>
      </c>
      <c r="O174" t="str">
        <f>_xlfn.TEXTJOIN("-",TRUE,J174,M174,N174)</f>
        <v>BUS-6C-1</v>
      </c>
      <c r="S174" t="s">
        <v>848</v>
      </c>
      <c r="T174" t="s">
        <v>731</v>
      </c>
      <c r="U174" t="s">
        <v>2245</v>
      </c>
      <c r="V174" t="s">
        <v>326</v>
      </c>
    </row>
    <row r="175" spans="1:22" x14ac:dyDescent="0.25">
      <c r="A175" t="s">
        <v>854</v>
      </c>
      <c r="B175" t="s">
        <v>731</v>
      </c>
      <c r="C175" t="s">
        <v>2251</v>
      </c>
      <c r="D175" t="s">
        <v>327</v>
      </c>
      <c r="J175" t="s">
        <v>3358</v>
      </c>
      <c r="K175">
        <v>6</v>
      </c>
      <c r="L175" t="s">
        <v>3323</v>
      </c>
      <c r="M175" t="str">
        <f t="shared" ref="M175:M179" si="44">K175&amp;L175</f>
        <v>6C</v>
      </c>
      <c r="N175">
        <v>2</v>
      </c>
      <c r="O175" t="str">
        <f t="shared" ref="O175:O179" si="45">_xlfn.TEXTJOIN("-",TRUE,J175,M175,N175)</f>
        <v>BUS-6C-2</v>
      </c>
      <c r="S175" t="s">
        <v>854</v>
      </c>
      <c r="T175" t="s">
        <v>731</v>
      </c>
      <c r="U175" t="s">
        <v>2251</v>
      </c>
      <c r="V175" t="s">
        <v>327</v>
      </c>
    </row>
    <row r="176" spans="1:22" x14ac:dyDescent="0.25">
      <c r="A176" t="s">
        <v>856</v>
      </c>
      <c r="B176" t="s">
        <v>731</v>
      </c>
      <c r="C176" t="s">
        <v>2253</v>
      </c>
      <c r="D176" t="s">
        <v>328</v>
      </c>
      <c r="J176" t="s">
        <v>3358</v>
      </c>
      <c r="K176">
        <v>6</v>
      </c>
      <c r="L176" t="s">
        <v>3323</v>
      </c>
      <c r="M176" t="str">
        <f t="shared" si="44"/>
        <v>6C</v>
      </c>
      <c r="N176">
        <v>3</v>
      </c>
      <c r="O176" t="str">
        <f t="shared" si="45"/>
        <v>BUS-6C-3</v>
      </c>
      <c r="S176" t="s">
        <v>856</v>
      </c>
      <c r="T176" t="s">
        <v>731</v>
      </c>
      <c r="U176" t="s">
        <v>2253</v>
      </c>
      <c r="V176" t="s">
        <v>328</v>
      </c>
    </row>
    <row r="177" spans="1:22" x14ac:dyDescent="0.25">
      <c r="A177" t="s">
        <v>862</v>
      </c>
      <c r="B177" t="s">
        <v>731</v>
      </c>
      <c r="C177" t="s">
        <v>2259</v>
      </c>
      <c r="D177" t="s">
        <v>329</v>
      </c>
      <c r="J177" t="s">
        <v>3358</v>
      </c>
      <c r="K177">
        <v>6</v>
      </c>
      <c r="L177" t="s">
        <v>3323</v>
      </c>
      <c r="M177" t="str">
        <f t="shared" si="44"/>
        <v>6C</v>
      </c>
      <c r="N177">
        <v>4</v>
      </c>
      <c r="O177" t="str">
        <f t="shared" si="45"/>
        <v>BUS-6C-4</v>
      </c>
      <c r="S177" t="s">
        <v>862</v>
      </c>
      <c r="T177" t="s">
        <v>731</v>
      </c>
      <c r="U177" t="s">
        <v>2259</v>
      </c>
      <c r="V177" t="s">
        <v>329</v>
      </c>
    </row>
    <row r="178" spans="1:22" x14ac:dyDescent="0.25">
      <c r="A178" t="s">
        <v>3365</v>
      </c>
      <c r="J178" t="s">
        <v>3358</v>
      </c>
      <c r="K178">
        <v>6</v>
      </c>
      <c r="L178" t="s">
        <v>3323</v>
      </c>
      <c r="M178" t="str">
        <f t="shared" si="44"/>
        <v>6C</v>
      </c>
      <c r="N178">
        <v>5</v>
      </c>
      <c r="O178" t="str">
        <f t="shared" si="45"/>
        <v>BUS-6C-5</v>
      </c>
      <c r="S178" t="s">
        <v>3365</v>
      </c>
    </row>
    <row r="179" spans="1:22" x14ac:dyDescent="0.25">
      <c r="A179" t="s">
        <v>845</v>
      </c>
      <c r="B179" t="s">
        <v>731</v>
      </c>
      <c r="C179" t="s">
        <v>2242</v>
      </c>
      <c r="D179" t="s">
        <v>347</v>
      </c>
      <c r="J179" t="s">
        <v>3358</v>
      </c>
      <c r="K179">
        <v>6</v>
      </c>
      <c r="L179" t="s">
        <v>3323</v>
      </c>
      <c r="M179" t="str">
        <f t="shared" si="44"/>
        <v>6C</v>
      </c>
      <c r="N179">
        <v>6</v>
      </c>
      <c r="O179" t="str">
        <f t="shared" si="45"/>
        <v>BUS-6C-6</v>
      </c>
      <c r="S179" t="s">
        <v>845</v>
      </c>
      <c r="T179" t="s">
        <v>731</v>
      </c>
      <c r="U179" t="s">
        <v>2242</v>
      </c>
      <c r="V179" t="s">
        <v>347</v>
      </c>
    </row>
    <row r="180" spans="1:22" x14ac:dyDescent="0.25">
      <c r="A180" t="s">
        <v>850</v>
      </c>
      <c r="B180" t="s">
        <v>731</v>
      </c>
      <c r="C180" t="s">
        <v>2247</v>
      </c>
      <c r="D180" t="s">
        <v>348</v>
      </c>
      <c r="J180" t="s">
        <v>3358</v>
      </c>
      <c r="K180">
        <v>6</v>
      </c>
      <c r="L180" t="s">
        <v>3324</v>
      </c>
      <c r="M180" t="str">
        <f>K180&amp;L180</f>
        <v>6D</v>
      </c>
      <c r="N180">
        <v>1</v>
      </c>
      <c r="O180" t="str">
        <f>_xlfn.TEXTJOIN("-",TRUE,J180,M180,N180)</f>
        <v>BUS-6D-1</v>
      </c>
      <c r="S180" t="s">
        <v>850</v>
      </c>
      <c r="T180" t="s">
        <v>731</v>
      </c>
      <c r="U180" t="s">
        <v>2247</v>
      </c>
      <c r="V180" t="s">
        <v>348</v>
      </c>
    </row>
    <row r="181" spans="1:22" x14ac:dyDescent="0.25">
      <c r="A181" t="s">
        <v>855</v>
      </c>
      <c r="B181" t="s">
        <v>731</v>
      </c>
      <c r="C181" t="s">
        <v>2252</v>
      </c>
      <c r="D181" t="s">
        <v>349</v>
      </c>
      <c r="J181" t="s">
        <v>3358</v>
      </c>
      <c r="K181">
        <v>6</v>
      </c>
      <c r="L181" t="s">
        <v>3324</v>
      </c>
      <c r="M181" t="str">
        <f t="shared" ref="M181:M185" si="46">K181&amp;L181</f>
        <v>6D</v>
      </c>
      <c r="N181">
        <v>2</v>
      </c>
      <c r="O181" t="str">
        <f t="shared" ref="O181:O185" si="47">_xlfn.TEXTJOIN("-",TRUE,J181,M181,N181)</f>
        <v>BUS-6D-2</v>
      </c>
      <c r="S181" t="s">
        <v>855</v>
      </c>
      <c r="T181" t="s">
        <v>731</v>
      </c>
      <c r="U181" t="s">
        <v>2252</v>
      </c>
      <c r="V181" t="s">
        <v>349</v>
      </c>
    </row>
    <row r="182" spans="1:22" x14ac:dyDescent="0.25">
      <c r="A182" t="s">
        <v>858</v>
      </c>
      <c r="B182" t="s">
        <v>731</v>
      </c>
      <c r="C182" t="s">
        <v>2255</v>
      </c>
      <c r="D182" t="s">
        <v>350</v>
      </c>
      <c r="J182" t="s">
        <v>3358</v>
      </c>
      <c r="K182">
        <v>6</v>
      </c>
      <c r="L182" t="s">
        <v>3324</v>
      </c>
      <c r="M182" t="str">
        <f t="shared" si="46"/>
        <v>6D</v>
      </c>
      <c r="N182">
        <v>3</v>
      </c>
      <c r="O182" t="str">
        <f t="shared" si="47"/>
        <v>BUS-6D-3</v>
      </c>
      <c r="S182" t="s">
        <v>858</v>
      </c>
      <c r="T182" t="s">
        <v>731</v>
      </c>
      <c r="U182" t="s">
        <v>2255</v>
      </c>
      <c r="V182" t="s">
        <v>350</v>
      </c>
    </row>
    <row r="183" spans="1:22" x14ac:dyDescent="0.25">
      <c r="A183" t="s">
        <v>863</v>
      </c>
      <c r="B183" t="s">
        <v>731</v>
      </c>
      <c r="C183" t="s">
        <v>2260</v>
      </c>
      <c r="D183" t="s">
        <v>351</v>
      </c>
      <c r="J183" t="s">
        <v>3358</v>
      </c>
      <c r="K183">
        <v>6</v>
      </c>
      <c r="L183" t="s">
        <v>3324</v>
      </c>
      <c r="M183" t="str">
        <f t="shared" si="46"/>
        <v>6D</v>
      </c>
      <c r="N183">
        <v>4</v>
      </c>
      <c r="O183" t="str">
        <f t="shared" si="47"/>
        <v>BUS-6D-4</v>
      </c>
      <c r="S183" t="s">
        <v>863</v>
      </c>
      <c r="T183" t="s">
        <v>731</v>
      </c>
      <c r="U183" t="s">
        <v>2260</v>
      </c>
      <c r="V183" t="s">
        <v>351</v>
      </c>
    </row>
    <row r="184" spans="1:22" x14ac:dyDescent="0.25">
      <c r="A184" t="s">
        <v>3364</v>
      </c>
      <c r="J184" t="s">
        <v>3358</v>
      </c>
      <c r="K184">
        <v>6</v>
      </c>
      <c r="L184" t="s">
        <v>3324</v>
      </c>
      <c r="M184" t="str">
        <f t="shared" si="46"/>
        <v>6D</v>
      </c>
      <c r="N184">
        <v>5</v>
      </c>
      <c r="O184" t="str">
        <f t="shared" si="47"/>
        <v>BUS-6D-5</v>
      </c>
      <c r="S184" t="s">
        <v>3364</v>
      </c>
    </row>
    <row r="185" spans="1:22" x14ac:dyDescent="0.25">
      <c r="A185" t="s">
        <v>852</v>
      </c>
      <c r="B185" t="s">
        <v>731</v>
      </c>
      <c r="C185" t="s">
        <v>2249</v>
      </c>
      <c r="D185" t="s">
        <v>369</v>
      </c>
      <c r="J185" t="s">
        <v>3358</v>
      </c>
      <c r="K185">
        <v>6</v>
      </c>
      <c r="L185" t="s">
        <v>3324</v>
      </c>
      <c r="M185" t="str">
        <f t="shared" si="46"/>
        <v>6D</v>
      </c>
      <c r="N185">
        <v>6</v>
      </c>
      <c r="O185" t="str">
        <f t="shared" si="47"/>
        <v>BUS-6D-6</v>
      </c>
      <c r="S185" t="s">
        <v>852</v>
      </c>
      <c r="T185" t="s">
        <v>731</v>
      </c>
      <c r="U185" t="s">
        <v>2249</v>
      </c>
      <c r="V185" t="s">
        <v>369</v>
      </c>
    </row>
    <row r="186" spans="1:22" x14ac:dyDescent="0.25">
      <c r="A186" t="s">
        <v>853</v>
      </c>
      <c r="B186" t="s">
        <v>731</v>
      </c>
      <c r="C186" t="s">
        <v>2250</v>
      </c>
      <c r="D186" t="s">
        <v>370</v>
      </c>
      <c r="J186" t="s">
        <v>3358</v>
      </c>
      <c r="K186">
        <v>6</v>
      </c>
      <c r="L186" t="s">
        <v>3326</v>
      </c>
      <c r="M186" t="str">
        <f>K186&amp;L186</f>
        <v>6E</v>
      </c>
      <c r="N186">
        <v>1</v>
      </c>
      <c r="O186" t="str">
        <f>_xlfn.TEXTJOIN("-",TRUE,J186,M186,N186)</f>
        <v>BUS-6E-1</v>
      </c>
      <c r="S186" t="s">
        <v>853</v>
      </c>
      <c r="T186" t="s">
        <v>731</v>
      </c>
      <c r="U186" t="s">
        <v>2250</v>
      </c>
      <c r="V186" t="s">
        <v>370</v>
      </c>
    </row>
    <row r="187" spans="1:22" x14ac:dyDescent="0.25">
      <c r="A187" t="s">
        <v>857</v>
      </c>
      <c r="B187" t="s">
        <v>731</v>
      </c>
      <c r="C187" t="s">
        <v>2254</v>
      </c>
      <c r="D187" t="s">
        <v>371</v>
      </c>
      <c r="J187" t="s">
        <v>3358</v>
      </c>
      <c r="K187">
        <v>6</v>
      </c>
      <c r="L187" t="s">
        <v>3326</v>
      </c>
      <c r="M187" t="str">
        <f t="shared" ref="M187:M191" si="48">K187&amp;L187</f>
        <v>6E</v>
      </c>
      <c r="N187">
        <v>2</v>
      </c>
      <c r="O187" t="str">
        <f t="shared" ref="O187:O191" si="49">_xlfn.TEXTJOIN("-",TRUE,J187,M187,N187)</f>
        <v>BUS-6E-2</v>
      </c>
      <c r="S187" t="s">
        <v>857</v>
      </c>
      <c r="T187" t="s">
        <v>731</v>
      </c>
      <c r="U187" t="s">
        <v>2254</v>
      </c>
      <c r="V187" t="s">
        <v>371</v>
      </c>
    </row>
    <row r="188" spans="1:22" x14ac:dyDescent="0.25">
      <c r="A188" t="s">
        <v>859</v>
      </c>
      <c r="B188" t="s">
        <v>731</v>
      </c>
      <c r="C188" t="s">
        <v>2256</v>
      </c>
      <c r="D188" t="s">
        <v>372</v>
      </c>
      <c r="J188" t="s">
        <v>3358</v>
      </c>
      <c r="K188">
        <v>6</v>
      </c>
      <c r="L188" t="s">
        <v>3326</v>
      </c>
      <c r="M188" t="str">
        <f t="shared" si="48"/>
        <v>6E</v>
      </c>
      <c r="N188">
        <v>3</v>
      </c>
      <c r="O188" t="str">
        <f t="shared" si="49"/>
        <v>BUS-6E-3</v>
      </c>
      <c r="S188" t="s">
        <v>859</v>
      </c>
      <c r="T188" t="s">
        <v>731</v>
      </c>
      <c r="U188" t="s">
        <v>2256</v>
      </c>
      <c r="V188" t="s">
        <v>372</v>
      </c>
    </row>
    <row r="189" spans="1:22" x14ac:dyDescent="0.25">
      <c r="A189" t="s">
        <v>864</v>
      </c>
      <c r="B189" t="s">
        <v>731</v>
      </c>
      <c r="C189" t="s">
        <v>2261</v>
      </c>
      <c r="D189" t="s">
        <v>373</v>
      </c>
      <c r="J189" t="s">
        <v>3358</v>
      </c>
      <c r="K189">
        <v>6</v>
      </c>
      <c r="L189" t="s">
        <v>3326</v>
      </c>
      <c r="M189" t="str">
        <f t="shared" si="48"/>
        <v>6E</v>
      </c>
      <c r="N189">
        <v>4</v>
      </c>
      <c r="O189" t="str">
        <f t="shared" si="49"/>
        <v>BUS-6E-4</v>
      </c>
      <c r="S189" t="s">
        <v>864</v>
      </c>
      <c r="T189" t="s">
        <v>731</v>
      </c>
      <c r="U189" t="s">
        <v>2261</v>
      </c>
      <c r="V189" t="s">
        <v>373</v>
      </c>
    </row>
    <row r="190" spans="1:22" x14ac:dyDescent="0.25">
      <c r="A190" t="s">
        <v>792</v>
      </c>
      <c r="B190" t="s">
        <v>731</v>
      </c>
      <c r="C190" t="s">
        <v>2142</v>
      </c>
      <c r="D190" t="s">
        <v>374</v>
      </c>
      <c r="J190" t="s">
        <v>3358</v>
      </c>
      <c r="K190">
        <v>6</v>
      </c>
      <c r="L190" t="s">
        <v>3326</v>
      </c>
      <c r="M190" t="str">
        <f t="shared" si="48"/>
        <v>6E</v>
      </c>
      <c r="N190">
        <v>5</v>
      </c>
      <c r="O190" t="str">
        <f t="shared" si="49"/>
        <v>BUS-6E-5</v>
      </c>
      <c r="S190" t="s">
        <v>792</v>
      </c>
      <c r="T190" t="s">
        <v>731</v>
      </c>
      <c r="U190" t="s">
        <v>2142</v>
      </c>
      <c r="V190" t="s">
        <v>374</v>
      </c>
    </row>
    <row r="191" spans="1:22" x14ac:dyDescent="0.25">
      <c r="A191" t="s">
        <v>763</v>
      </c>
      <c r="B191" t="s">
        <v>731</v>
      </c>
      <c r="C191" t="s">
        <v>2113</v>
      </c>
      <c r="D191" t="s">
        <v>19</v>
      </c>
      <c r="J191" t="s">
        <v>3358</v>
      </c>
      <c r="K191">
        <v>6</v>
      </c>
      <c r="L191" t="s">
        <v>3326</v>
      </c>
      <c r="M191" t="str">
        <f t="shared" si="48"/>
        <v>6E</v>
      </c>
      <c r="N191">
        <v>6</v>
      </c>
      <c r="O191" t="str">
        <f t="shared" si="49"/>
        <v>BUS-6E-6</v>
      </c>
      <c r="S191" t="s">
        <v>763</v>
      </c>
      <c r="T191" t="s">
        <v>731</v>
      </c>
      <c r="U191" t="s">
        <v>2113</v>
      </c>
      <c r="V191" t="s">
        <v>19</v>
      </c>
    </row>
    <row r="192" spans="1:22" x14ac:dyDescent="0.25">
      <c r="A192" t="s">
        <v>764</v>
      </c>
      <c r="B192" t="s">
        <v>731</v>
      </c>
      <c r="C192" t="s">
        <v>2114</v>
      </c>
      <c r="D192" t="s">
        <v>20</v>
      </c>
      <c r="J192" t="s">
        <v>3358</v>
      </c>
      <c r="K192">
        <v>7</v>
      </c>
      <c r="L192" t="s">
        <v>3321</v>
      </c>
      <c r="M192" t="str">
        <f>K192&amp;L192</f>
        <v>7A</v>
      </c>
      <c r="N192">
        <v>1</v>
      </c>
      <c r="O192" t="str">
        <f>_xlfn.TEXTJOIN("-",TRUE,J192,M192,N192)</f>
        <v>BUS-7A-1</v>
      </c>
      <c r="S192" t="s">
        <v>764</v>
      </c>
      <c r="T192" t="s">
        <v>731</v>
      </c>
      <c r="U192" t="s">
        <v>2114</v>
      </c>
      <c r="V192" t="s">
        <v>20</v>
      </c>
    </row>
    <row r="193" spans="1:22" x14ac:dyDescent="0.25">
      <c r="A193" t="s">
        <v>767</v>
      </c>
      <c r="B193" t="s">
        <v>731</v>
      </c>
      <c r="C193" t="s">
        <v>2117</v>
      </c>
      <c r="D193" t="s">
        <v>21</v>
      </c>
      <c r="J193" t="s">
        <v>3358</v>
      </c>
      <c r="K193">
        <v>7</v>
      </c>
      <c r="L193" t="s">
        <v>3321</v>
      </c>
      <c r="M193" t="str">
        <f t="shared" ref="M193:M197" si="50">K193&amp;L193</f>
        <v>7A</v>
      </c>
      <c r="N193">
        <v>2</v>
      </c>
      <c r="O193" t="str">
        <f t="shared" ref="O193:O197" si="51">_xlfn.TEXTJOIN("-",TRUE,J193,M193,N193)</f>
        <v>BUS-7A-2</v>
      </c>
      <c r="S193" t="s">
        <v>767</v>
      </c>
      <c r="T193" t="s">
        <v>731</v>
      </c>
      <c r="U193" t="s">
        <v>2117</v>
      </c>
      <c r="V193" t="s">
        <v>21</v>
      </c>
    </row>
    <row r="194" spans="1:22" x14ac:dyDescent="0.25">
      <c r="A194" t="s">
        <v>768</v>
      </c>
      <c r="B194" t="s">
        <v>731</v>
      </c>
      <c r="C194" t="s">
        <v>2118</v>
      </c>
      <c r="D194" t="s">
        <v>22</v>
      </c>
      <c r="J194" t="s">
        <v>3358</v>
      </c>
      <c r="K194">
        <v>7</v>
      </c>
      <c r="L194" t="s">
        <v>3321</v>
      </c>
      <c r="M194" t="str">
        <f t="shared" si="50"/>
        <v>7A</v>
      </c>
      <c r="N194">
        <v>3</v>
      </c>
      <c r="O194" t="str">
        <f t="shared" si="51"/>
        <v>BUS-7A-3</v>
      </c>
      <c r="S194" t="s">
        <v>768</v>
      </c>
      <c r="T194" t="s">
        <v>731</v>
      </c>
      <c r="U194" t="s">
        <v>2118</v>
      </c>
      <c r="V194" t="s">
        <v>22</v>
      </c>
    </row>
    <row r="195" spans="1:22" x14ac:dyDescent="0.25">
      <c r="A195" t="s">
        <v>801</v>
      </c>
      <c r="B195" t="s">
        <v>731</v>
      </c>
      <c r="C195" t="s">
        <v>2159</v>
      </c>
      <c r="D195" t="s">
        <v>23</v>
      </c>
      <c r="J195" t="s">
        <v>3358</v>
      </c>
      <c r="K195">
        <v>7</v>
      </c>
      <c r="L195" t="s">
        <v>3321</v>
      </c>
      <c r="M195" t="str">
        <f t="shared" si="50"/>
        <v>7A</v>
      </c>
      <c r="N195">
        <v>4</v>
      </c>
      <c r="O195" t="str">
        <f t="shared" si="51"/>
        <v>BUS-7A-4</v>
      </c>
      <c r="S195" t="s">
        <v>801</v>
      </c>
      <c r="T195" t="s">
        <v>731</v>
      </c>
      <c r="U195" t="s">
        <v>2159</v>
      </c>
      <c r="V195" t="s">
        <v>23</v>
      </c>
    </row>
    <row r="196" spans="1:22" x14ac:dyDescent="0.25">
      <c r="A196" t="s">
        <v>802</v>
      </c>
      <c r="B196" t="s">
        <v>731</v>
      </c>
      <c r="C196" t="s">
        <v>2160</v>
      </c>
      <c r="D196" t="s">
        <v>24</v>
      </c>
      <c r="J196" t="s">
        <v>3358</v>
      </c>
      <c r="K196">
        <v>7</v>
      </c>
      <c r="L196" t="s">
        <v>3321</v>
      </c>
      <c r="M196" t="str">
        <f t="shared" si="50"/>
        <v>7A</v>
      </c>
      <c r="N196">
        <v>5</v>
      </c>
      <c r="O196" t="str">
        <f t="shared" si="51"/>
        <v>BUS-7A-5</v>
      </c>
      <c r="S196" t="s">
        <v>802</v>
      </c>
      <c r="T196" t="s">
        <v>731</v>
      </c>
      <c r="U196" t="s">
        <v>2160</v>
      </c>
      <c r="V196" t="s">
        <v>24</v>
      </c>
    </row>
    <row r="197" spans="1:22" x14ac:dyDescent="0.25">
      <c r="A197" t="s">
        <v>765</v>
      </c>
      <c r="B197" t="s">
        <v>731</v>
      </c>
      <c r="C197" t="s">
        <v>2115</v>
      </c>
      <c r="D197" t="s">
        <v>49</v>
      </c>
      <c r="J197" t="s">
        <v>3358</v>
      </c>
      <c r="K197">
        <v>7</v>
      </c>
      <c r="L197" t="s">
        <v>3321</v>
      </c>
      <c r="M197" t="str">
        <f t="shared" si="50"/>
        <v>7A</v>
      </c>
      <c r="N197">
        <v>6</v>
      </c>
      <c r="O197" t="str">
        <f t="shared" si="51"/>
        <v>BUS-7A-6</v>
      </c>
      <c r="S197" t="s">
        <v>765</v>
      </c>
      <c r="T197" t="s">
        <v>731</v>
      </c>
      <c r="U197" t="s">
        <v>2115</v>
      </c>
      <c r="V197" t="s">
        <v>49</v>
      </c>
    </row>
    <row r="198" spans="1:22" x14ac:dyDescent="0.25">
      <c r="A198" t="s">
        <v>771</v>
      </c>
      <c r="B198" t="s">
        <v>731</v>
      </c>
      <c r="C198" t="s">
        <v>2121</v>
      </c>
      <c r="D198" t="s">
        <v>50</v>
      </c>
      <c r="J198" t="s">
        <v>3358</v>
      </c>
      <c r="K198">
        <v>7</v>
      </c>
      <c r="L198" t="s">
        <v>3322</v>
      </c>
      <c r="M198" t="str">
        <f>K198&amp;L198</f>
        <v>7B</v>
      </c>
      <c r="N198">
        <v>1</v>
      </c>
      <c r="O198" t="str">
        <f>_xlfn.TEXTJOIN("-",TRUE,J198,M198,N198)</f>
        <v>BUS-7B-1</v>
      </c>
      <c r="S198" t="s">
        <v>771</v>
      </c>
      <c r="T198" t="s">
        <v>731</v>
      </c>
      <c r="U198" t="s">
        <v>2121</v>
      </c>
      <c r="V198" t="s">
        <v>50</v>
      </c>
    </row>
    <row r="199" spans="1:22" x14ac:dyDescent="0.25">
      <c r="A199" t="s">
        <v>772</v>
      </c>
      <c r="B199" t="s">
        <v>731</v>
      </c>
      <c r="C199" t="s">
        <v>2122</v>
      </c>
      <c r="D199" t="s">
        <v>51</v>
      </c>
      <c r="J199" t="s">
        <v>3358</v>
      </c>
      <c r="K199">
        <v>7</v>
      </c>
      <c r="L199" t="s">
        <v>3322</v>
      </c>
      <c r="M199" t="str">
        <f t="shared" ref="M199:M203" si="52">K199&amp;L199</f>
        <v>7B</v>
      </c>
      <c r="N199">
        <v>2</v>
      </c>
      <c r="O199" t="str">
        <f t="shared" ref="O199:O203" si="53">_xlfn.TEXTJOIN("-",TRUE,J199,M199,N199)</f>
        <v>BUS-7B-2</v>
      </c>
      <c r="S199" t="s">
        <v>772</v>
      </c>
      <c r="T199" t="s">
        <v>731</v>
      </c>
      <c r="U199" t="s">
        <v>2122</v>
      </c>
      <c r="V199" t="s">
        <v>51</v>
      </c>
    </row>
    <row r="200" spans="1:22" x14ac:dyDescent="0.25">
      <c r="A200" t="s">
        <v>776</v>
      </c>
      <c r="B200" t="s">
        <v>731</v>
      </c>
      <c r="C200" t="s">
        <v>2126</v>
      </c>
      <c r="D200" t="s">
        <v>52</v>
      </c>
      <c r="J200" t="s">
        <v>3358</v>
      </c>
      <c r="K200">
        <v>7</v>
      </c>
      <c r="L200" t="s">
        <v>3322</v>
      </c>
      <c r="M200" t="str">
        <f t="shared" si="52"/>
        <v>7B</v>
      </c>
      <c r="N200">
        <v>3</v>
      </c>
      <c r="O200" t="str">
        <f t="shared" si="53"/>
        <v>BUS-7B-3</v>
      </c>
      <c r="S200" t="s">
        <v>776</v>
      </c>
      <c r="T200" t="s">
        <v>731</v>
      </c>
      <c r="U200" t="s">
        <v>2126</v>
      </c>
      <c r="V200" t="s">
        <v>52</v>
      </c>
    </row>
    <row r="201" spans="1:22" x14ac:dyDescent="0.25">
      <c r="A201" t="s">
        <v>803</v>
      </c>
      <c r="B201" t="s">
        <v>731</v>
      </c>
      <c r="C201" t="s">
        <v>2161</v>
      </c>
      <c r="D201" t="s">
        <v>53</v>
      </c>
      <c r="J201" t="s">
        <v>3358</v>
      </c>
      <c r="K201">
        <v>7</v>
      </c>
      <c r="L201" t="s">
        <v>3322</v>
      </c>
      <c r="M201" t="str">
        <f t="shared" si="52"/>
        <v>7B</v>
      </c>
      <c r="N201">
        <v>4</v>
      </c>
      <c r="O201" t="str">
        <f t="shared" si="53"/>
        <v>BUS-7B-4</v>
      </c>
      <c r="S201" t="s">
        <v>803</v>
      </c>
      <c r="T201" t="s">
        <v>731</v>
      </c>
      <c r="U201" t="s">
        <v>2161</v>
      </c>
      <c r="V201" t="s">
        <v>53</v>
      </c>
    </row>
    <row r="202" spans="1:22" x14ac:dyDescent="0.25">
      <c r="A202" t="s">
        <v>804</v>
      </c>
      <c r="B202" t="s">
        <v>731</v>
      </c>
      <c r="C202" t="s">
        <v>2162</v>
      </c>
      <c r="D202" t="s">
        <v>54</v>
      </c>
      <c r="J202" t="s">
        <v>3358</v>
      </c>
      <c r="K202">
        <v>7</v>
      </c>
      <c r="L202" t="s">
        <v>3322</v>
      </c>
      <c r="M202" t="str">
        <f t="shared" si="52"/>
        <v>7B</v>
      </c>
      <c r="N202">
        <v>5</v>
      </c>
      <c r="O202" t="str">
        <f t="shared" si="53"/>
        <v>BUS-7B-5</v>
      </c>
      <c r="S202" t="s">
        <v>804</v>
      </c>
      <c r="T202" t="s">
        <v>731</v>
      </c>
      <c r="U202" t="s">
        <v>2162</v>
      </c>
      <c r="V202" t="s">
        <v>54</v>
      </c>
    </row>
    <row r="203" spans="1:22" x14ac:dyDescent="0.25">
      <c r="A203" t="s">
        <v>766</v>
      </c>
      <c r="B203" t="s">
        <v>731</v>
      </c>
      <c r="C203" t="s">
        <v>2116</v>
      </c>
      <c r="D203" t="s">
        <v>71</v>
      </c>
      <c r="J203" t="s">
        <v>3358</v>
      </c>
      <c r="K203">
        <v>7</v>
      </c>
      <c r="L203" t="s">
        <v>3322</v>
      </c>
      <c r="M203" t="str">
        <f t="shared" si="52"/>
        <v>7B</v>
      </c>
      <c r="N203">
        <v>6</v>
      </c>
      <c r="O203" t="str">
        <f t="shared" si="53"/>
        <v>BUS-7B-6</v>
      </c>
      <c r="S203" t="s">
        <v>766</v>
      </c>
      <c r="T203" t="s">
        <v>731</v>
      </c>
      <c r="U203" t="s">
        <v>2116</v>
      </c>
      <c r="V203" t="s">
        <v>71</v>
      </c>
    </row>
    <row r="204" spans="1:22" x14ac:dyDescent="0.25">
      <c r="A204" t="s">
        <v>773</v>
      </c>
      <c r="B204" t="s">
        <v>731</v>
      </c>
      <c r="C204" t="s">
        <v>2123</v>
      </c>
      <c r="D204" t="s">
        <v>72</v>
      </c>
      <c r="J204" t="s">
        <v>3358</v>
      </c>
      <c r="K204">
        <v>7</v>
      </c>
      <c r="L204" t="s">
        <v>3323</v>
      </c>
      <c r="M204" t="str">
        <f>K204&amp;L204</f>
        <v>7C</v>
      </c>
      <c r="N204">
        <v>1</v>
      </c>
      <c r="O204" t="str">
        <f>_xlfn.TEXTJOIN("-",TRUE,J204,M204,N204)</f>
        <v>BUS-7C-1</v>
      </c>
      <c r="S204" t="s">
        <v>773</v>
      </c>
      <c r="T204" t="s">
        <v>731</v>
      </c>
      <c r="U204" t="s">
        <v>2123</v>
      </c>
      <c r="V204" t="s">
        <v>72</v>
      </c>
    </row>
    <row r="205" spans="1:22" x14ac:dyDescent="0.25">
      <c r="A205" t="s">
        <v>778</v>
      </c>
      <c r="B205" t="s">
        <v>731</v>
      </c>
      <c r="C205" t="s">
        <v>2128</v>
      </c>
      <c r="D205" t="s">
        <v>73</v>
      </c>
      <c r="J205" t="s">
        <v>3358</v>
      </c>
      <c r="K205">
        <v>7</v>
      </c>
      <c r="L205" t="s">
        <v>3323</v>
      </c>
      <c r="M205" t="str">
        <f t="shared" ref="M205:M209" si="54">K205&amp;L205</f>
        <v>7C</v>
      </c>
      <c r="N205">
        <v>2</v>
      </c>
      <c r="O205" t="str">
        <f t="shared" ref="O205:O209" si="55">_xlfn.TEXTJOIN("-",TRUE,J205,M205,N205)</f>
        <v>BUS-7C-2</v>
      </c>
      <c r="S205" t="s">
        <v>778</v>
      </c>
      <c r="T205" t="s">
        <v>731</v>
      </c>
      <c r="U205" t="s">
        <v>2128</v>
      </c>
      <c r="V205" t="s">
        <v>73</v>
      </c>
    </row>
    <row r="206" spans="1:22" x14ac:dyDescent="0.25">
      <c r="A206" t="s">
        <v>786</v>
      </c>
      <c r="B206" t="s">
        <v>731</v>
      </c>
      <c r="C206" t="s">
        <v>2136</v>
      </c>
      <c r="D206" t="s">
        <v>74</v>
      </c>
      <c r="J206" t="s">
        <v>3358</v>
      </c>
      <c r="K206">
        <v>7</v>
      </c>
      <c r="L206" t="s">
        <v>3323</v>
      </c>
      <c r="M206" t="str">
        <f t="shared" si="54"/>
        <v>7C</v>
      </c>
      <c r="N206">
        <v>3</v>
      </c>
      <c r="O206" t="str">
        <f t="shared" si="55"/>
        <v>BUS-7C-3</v>
      </c>
      <c r="S206" t="s">
        <v>786</v>
      </c>
      <c r="T206" t="s">
        <v>731</v>
      </c>
      <c r="U206" t="s">
        <v>2136</v>
      </c>
      <c r="V206" t="s">
        <v>74</v>
      </c>
    </row>
    <row r="207" spans="1:22" x14ac:dyDescent="0.25">
      <c r="A207" t="s">
        <v>805</v>
      </c>
      <c r="B207" t="s">
        <v>731</v>
      </c>
      <c r="C207" t="s">
        <v>2163</v>
      </c>
      <c r="D207" t="s">
        <v>75</v>
      </c>
      <c r="J207" t="s">
        <v>3358</v>
      </c>
      <c r="K207">
        <v>7</v>
      </c>
      <c r="L207" t="s">
        <v>3323</v>
      </c>
      <c r="M207" t="str">
        <f t="shared" si="54"/>
        <v>7C</v>
      </c>
      <c r="N207">
        <v>4</v>
      </c>
      <c r="O207" t="str">
        <f t="shared" si="55"/>
        <v>BUS-7C-4</v>
      </c>
      <c r="S207" t="s">
        <v>805</v>
      </c>
      <c r="T207" t="s">
        <v>731</v>
      </c>
      <c r="U207" t="s">
        <v>2163</v>
      </c>
      <c r="V207" t="s">
        <v>75</v>
      </c>
    </row>
    <row r="208" spans="1:22" x14ac:dyDescent="0.25">
      <c r="A208" t="s">
        <v>806</v>
      </c>
      <c r="B208" t="s">
        <v>731</v>
      </c>
      <c r="C208" t="s">
        <v>2164</v>
      </c>
      <c r="D208" t="s">
        <v>76</v>
      </c>
      <c r="J208" t="s">
        <v>3358</v>
      </c>
      <c r="K208">
        <v>7</v>
      </c>
      <c r="L208" t="s">
        <v>3323</v>
      </c>
      <c r="M208" t="str">
        <f t="shared" si="54"/>
        <v>7C</v>
      </c>
      <c r="N208">
        <v>5</v>
      </c>
      <c r="O208" t="str">
        <f t="shared" si="55"/>
        <v>BUS-7C-5</v>
      </c>
      <c r="S208" t="s">
        <v>806</v>
      </c>
      <c r="T208" t="s">
        <v>731</v>
      </c>
      <c r="U208" t="s">
        <v>2164</v>
      </c>
      <c r="V208" t="s">
        <v>76</v>
      </c>
    </row>
    <row r="209" spans="1:22" x14ac:dyDescent="0.25">
      <c r="A209" t="s">
        <v>769</v>
      </c>
      <c r="B209" t="s">
        <v>731</v>
      </c>
      <c r="C209" t="s">
        <v>2119</v>
      </c>
      <c r="D209" t="s">
        <v>92</v>
      </c>
      <c r="J209" t="s">
        <v>3358</v>
      </c>
      <c r="K209">
        <v>7</v>
      </c>
      <c r="L209" t="s">
        <v>3323</v>
      </c>
      <c r="M209" t="str">
        <f t="shared" si="54"/>
        <v>7C</v>
      </c>
      <c r="N209">
        <v>6</v>
      </c>
      <c r="O209" t="str">
        <f t="shared" si="55"/>
        <v>BUS-7C-6</v>
      </c>
      <c r="S209" t="s">
        <v>769</v>
      </c>
      <c r="T209" t="s">
        <v>731</v>
      </c>
      <c r="U209" t="s">
        <v>2119</v>
      </c>
      <c r="V209" t="s">
        <v>92</v>
      </c>
    </row>
    <row r="210" spans="1:22" x14ac:dyDescent="0.25">
      <c r="A210" t="s">
        <v>774</v>
      </c>
      <c r="B210" t="s">
        <v>731</v>
      </c>
      <c r="C210" t="s">
        <v>2124</v>
      </c>
      <c r="D210" t="s">
        <v>93</v>
      </c>
      <c r="J210" t="s">
        <v>3358</v>
      </c>
      <c r="K210">
        <v>7</v>
      </c>
      <c r="L210" t="s">
        <v>3324</v>
      </c>
      <c r="M210" t="str">
        <f>K210&amp;L210</f>
        <v>7D</v>
      </c>
      <c r="N210">
        <v>1</v>
      </c>
      <c r="O210" t="str">
        <f>_xlfn.TEXTJOIN("-",TRUE,J210,M210,N210)</f>
        <v>BUS-7D-1</v>
      </c>
      <c r="S210" t="s">
        <v>774</v>
      </c>
      <c r="T210" t="s">
        <v>731</v>
      </c>
      <c r="U210" t="s">
        <v>2124</v>
      </c>
      <c r="V210" t="s">
        <v>93</v>
      </c>
    </row>
    <row r="211" spans="1:22" x14ac:dyDescent="0.25">
      <c r="A211" t="s">
        <v>777</v>
      </c>
      <c r="B211" t="s">
        <v>731</v>
      </c>
      <c r="C211" t="s">
        <v>2127</v>
      </c>
      <c r="D211" t="s">
        <v>94</v>
      </c>
      <c r="J211" t="s">
        <v>3358</v>
      </c>
      <c r="K211">
        <v>7</v>
      </c>
      <c r="L211" t="s">
        <v>3324</v>
      </c>
      <c r="M211" t="str">
        <f t="shared" ref="M211:M215" si="56">K211&amp;L211</f>
        <v>7D</v>
      </c>
      <c r="N211">
        <v>2</v>
      </c>
      <c r="O211" t="str">
        <f t="shared" ref="O211:O215" si="57">_xlfn.TEXTJOIN("-",TRUE,J211,M211,N211)</f>
        <v>BUS-7D-2</v>
      </c>
      <c r="S211" t="s">
        <v>777</v>
      </c>
      <c r="T211" t="s">
        <v>731</v>
      </c>
      <c r="U211" t="s">
        <v>2127</v>
      </c>
      <c r="V211" t="s">
        <v>94</v>
      </c>
    </row>
    <row r="212" spans="1:22" x14ac:dyDescent="0.25">
      <c r="A212" t="s">
        <v>788</v>
      </c>
      <c r="B212" t="s">
        <v>731</v>
      </c>
      <c r="C212" t="s">
        <v>2138</v>
      </c>
      <c r="D212" t="s">
        <v>95</v>
      </c>
      <c r="J212" t="s">
        <v>3358</v>
      </c>
      <c r="K212">
        <v>7</v>
      </c>
      <c r="L212" t="s">
        <v>3324</v>
      </c>
      <c r="M212" t="str">
        <f t="shared" si="56"/>
        <v>7D</v>
      </c>
      <c r="N212">
        <v>3</v>
      </c>
      <c r="O212" t="str">
        <f t="shared" si="57"/>
        <v>BUS-7D-3</v>
      </c>
      <c r="S212" t="s">
        <v>788</v>
      </c>
      <c r="T212" t="s">
        <v>731</v>
      </c>
      <c r="U212" t="s">
        <v>2138</v>
      </c>
      <c r="V212" t="s">
        <v>95</v>
      </c>
    </row>
    <row r="213" spans="1:22" x14ac:dyDescent="0.25">
      <c r="A213" t="s">
        <v>807</v>
      </c>
      <c r="B213" t="s">
        <v>731</v>
      </c>
      <c r="C213" t="s">
        <v>2165</v>
      </c>
      <c r="D213" t="s">
        <v>96</v>
      </c>
      <c r="J213" t="s">
        <v>3358</v>
      </c>
      <c r="K213">
        <v>7</v>
      </c>
      <c r="L213" t="s">
        <v>3324</v>
      </c>
      <c r="M213" t="str">
        <f t="shared" si="56"/>
        <v>7D</v>
      </c>
      <c r="N213">
        <v>4</v>
      </c>
      <c r="O213" t="str">
        <f t="shared" si="57"/>
        <v>BUS-7D-4</v>
      </c>
      <c r="S213" t="s">
        <v>807</v>
      </c>
      <c r="T213" t="s">
        <v>731</v>
      </c>
      <c r="U213" t="s">
        <v>2165</v>
      </c>
      <c r="V213" t="s">
        <v>96</v>
      </c>
    </row>
    <row r="214" spans="1:22" x14ac:dyDescent="0.25">
      <c r="A214" t="s">
        <v>808</v>
      </c>
      <c r="B214" t="s">
        <v>731</v>
      </c>
      <c r="C214" t="s">
        <v>2166</v>
      </c>
      <c r="D214" t="s">
        <v>97</v>
      </c>
      <c r="J214" t="s">
        <v>3358</v>
      </c>
      <c r="K214">
        <v>7</v>
      </c>
      <c r="L214" t="s">
        <v>3324</v>
      </c>
      <c r="M214" t="str">
        <f t="shared" si="56"/>
        <v>7D</v>
      </c>
      <c r="N214">
        <v>5</v>
      </c>
      <c r="O214" t="str">
        <f t="shared" si="57"/>
        <v>BUS-7D-5</v>
      </c>
      <c r="S214" t="s">
        <v>808</v>
      </c>
      <c r="T214" t="s">
        <v>731</v>
      </c>
      <c r="U214" t="s">
        <v>2166</v>
      </c>
      <c r="V214" t="s">
        <v>97</v>
      </c>
    </row>
    <row r="215" spans="1:22" x14ac:dyDescent="0.25">
      <c r="A215" t="s">
        <v>770</v>
      </c>
      <c r="B215" t="s">
        <v>731</v>
      </c>
      <c r="C215" t="s">
        <v>2120</v>
      </c>
      <c r="D215" t="s">
        <v>113</v>
      </c>
      <c r="J215" t="s">
        <v>3358</v>
      </c>
      <c r="K215">
        <v>7</v>
      </c>
      <c r="L215" t="s">
        <v>3324</v>
      </c>
      <c r="M215" t="str">
        <f t="shared" si="56"/>
        <v>7D</v>
      </c>
      <c r="N215">
        <v>6</v>
      </c>
      <c r="O215" t="str">
        <f t="shared" si="57"/>
        <v>BUS-7D-6</v>
      </c>
      <c r="S215" t="s">
        <v>770</v>
      </c>
      <c r="T215" t="s">
        <v>731</v>
      </c>
      <c r="U215" t="s">
        <v>2120</v>
      </c>
      <c r="V215" t="s">
        <v>113</v>
      </c>
    </row>
    <row r="216" spans="1:22" x14ac:dyDescent="0.25">
      <c r="A216" t="s">
        <v>775</v>
      </c>
      <c r="B216" t="s">
        <v>731</v>
      </c>
      <c r="C216" t="s">
        <v>2125</v>
      </c>
      <c r="D216" t="s">
        <v>114</v>
      </c>
      <c r="J216" t="s">
        <v>3358</v>
      </c>
      <c r="K216">
        <v>7</v>
      </c>
      <c r="L216" t="s">
        <v>3326</v>
      </c>
      <c r="M216" t="str">
        <f>K216&amp;L216</f>
        <v>7E</v>
      </c>
      <c r="N216">
        <v>1</v>
      </c>
      <c r="O216" t="str">
        <f>_xlfn.TEXTJOIN("-",TRUE,J216,M216,N216)</f>
        <v>BUS-7E-1</v>
      </c>
      <c r="S216" t="s">
        <v>775</v>
      </c>
      <c r="T216" t="s">
        <v>731</v>
      </c>
      <c r="U216" t="s">
        <v>2125</v>
      </c>
      <c r="V216" t="s">
        <v>114</v>
      </c>
    </row>
    <row r="217" spans="1:22" x14ac:dyDescent="0.25">
      <c r="A217" t="s">
        <v>785</v>
      </c>
      <c r="B217" t="s">
        <v>731</v>
      </c>
      <c r="C217" t="s">
        <v>2135</v>
      </c>
      <c r="D217" t="s">
        <v>115</v>
      </c>
      <c r="J217" t="s">
        <v>3358</v>
      </c>
      <c r="K217">
        <v>7</v>
      </c>
      <c r="L217" t="s">
        <v>3326</v>
      </c>
      <c r="M217" t="str">
        <f t="shared" ref="M217:M221" si="58">K217&amp;L217</f>
        <v>7E</v>
      </c>
      <c r="N217">
        <v>2</v>
      </c>
      <c r="O217" t="str">
        <f t="shared" ref="O217:O221" si="59">_xlfn.TEXTJOIN("-",TRUE,J217,M217,N217)</f>
        <v>BUS-7E-2</v>
      </c>
      <c r="S217" t="s">
        <v>785</v>
      </c>
      <c r="T217" t="s">
        <v>731</v>
      </c>
      <c r="U217" t="s">
        <v>2135</v>
      </c>
      <c r="V217" t="s">
        <v>115</v>
      </c>
    </row>
    <row r="218" spans="1:22" x14ac:dyDescent="0.25">
      <c r="A218" t="s">
        <v>787</v>
      </c>
      <c r="B218" t="s">
        <v>731</v>
      </c>
      <c r="C218" t="s">
        <v>2137</v>
      </c>
      <c r="D218" t="s">
        <v>116</v>
      </c>
      <c r="J218" t="s">
        <v>3358</v>
      </c>
      <c r="K218">
        <v>7</v>
      </c>
      <c r="L218" t="s">
        <v>3326</v>
      </c>
      <c r="M218" t="str">
        <f t="shared" si="58"/>
        <v>7E</v>
      </c>
      <c r="N218">
        <v>3</v>
      </c>
      <c r="O218" t="str">
        <f t="shared" si="59"/>
        <v>BUS-7E-3</v>
      </c>
      <c r="S218" t="s">
        <v>787</v>
      </c>
      <c r="T218" t="s">
        <v>731</v>
      </c>
      <c r="U218" t="s">
        <v>2137</v>
      </c>
      <c r="V218" t="s">
        <v>116</v>
      </c>
    </row>
    <row r="219" spans="1:22" x14ac:dyDescent="0.25">
      <c r="A219" t="s">
        <v>3362</v>
      </c>
      <c r="J219" t="s">
        <v>3358</v>
      </c>
      <c r="K219">
        <v>7</v>
      </c>
      <c r="L219" t="s">
        <v>3326</v>
      </c>
      <c r="M219" t="str">
        <f t="shared" si="58"/>
        <v>7E</v>
      </c>
      <c r="N219">
        <v>4</v>
      </c>
      <c r="O219" t="str">
        <f t="shared" si="59"/>
        <v>BUS-7E-4</v>
      </c>
      <c r="S219" t="s">
        <v>3362</v>
      </c>
    </row>
    <row r="220" spans="1:22" x14ac:dyDescent="0.25">
      <c r="A220" t="s">
        <v>3363</v>
      </c>
      <c r="J220" t="s">
        <v>3358</v>
      </c>
      <c r="K220">
        <v>7</v>
      </c>
      <c r="L220" t="s">
        <v>3326</v>
      </c>
      <c r="M220" t="str">
        <f t="shared" si="58"/>
        <v>7E</v>
      </c>
      <c r="N220">
        <v>5</v>
      </c>
      <c r="O220" t="str">
        <f t="shared" si="59"/>
        <v>BUS-7E-5</v>
      </c>
      <c r="S220" t="s">
        <v>3363</v>
      </c>
    </row>
    <row r="221" spans="1:22" x14ac:dyDescent="0.25">
      <c r="J221" t="s">
        <v>3358</v>
      </c>
      <c r="K221">
        <v>7</v>
      </c>
      <c r="L221" t="s">
        <v>3326</v>
      </c>
      <c r="M221" t="str">
        <f t="shared" si="58"/>
        <v>7E</v>
      </c>
      <c r="N221">
        <v>6</v>
      </c>
      <c r="O221" t="str">
        <f t="shared" si="59"/>
        <v>BUS-7E-6</v>
      </c>
    </row>
    <row r="231" spans="10:10" x14ac:dyDescent="0.25">
      <c r="J231" s="1"/>
    </row>
    <row r="232" spans="10:10" x14ac:dyDescent="0.25">
      <c r="J232" s="1"/>
    </row>
    <row r="233" spans="10:10" x14ac:dyDescent="0.25">
      <c r="J233" s="1"/>
    </row>
    <row r="234" spans="10:10" x14ac:dyDescent="0.25">
      <c r="J234" s="1"/>
    </row>
    <row r="235" spans="10:10" x14ac:dyDescent="0.25">
      <c r="J235" s="1"/>
    </row>
    <row r="236" spans="10:10" x14ac:dyDescent="0.25">
      <c r="J236" s="1"/>
    </row>
    <row r="237" spans="10:10" x14ac:dyDescent="0.25">
      <c r="J237" s="1"/>
    </row>
    <row r="238" spans="10:10" x14ac:dyDescent="0.25">
      <c r="J238" s="1"/>
    </row>
    <row r="239" spans="10:10" x14ac:dyDescent="0.25">
      <c r="J239" s="1"/>
    </row>
    <row r="240" spans="10:10" x14ac:dyDescent="0.25">
      <c r="J240" s="1"/>
    </row>
    <row r="241" spans="1:10" x14ac:dyDescent="0.25">
      <c r="J241" s="1"/>
    </row>
    <row r="242" spans="1:10" x14ac:dyDescent="0.25">
      <c r="J242" s="1"/>
    </row>
    <row r="243" spans="1:10" x14ac:dyDescent="0.25">
      <c r="J243" s="1"/>
    </row>
    <row r="244" spans="1:10" x14ac:dyDescent="0.25">
      <c r="J244" s="1"/>
    </row>
    <row r="245" spans="1:10" x14ac:dyDescent="0.25">
      <c r="J245" s="1"/>
    </row>
    <row r="246" spans="1:10" x14ac:dyDescent="0.25">
      <c r="A246" t="s">
        <v>3370</v>
      </c>
      <c r="B246" t="s">
        <v>3295</v>
      </c>
      <c r="C246" t="s">
        <v>3371</v>
      </c>
      <c r="D246" t="s">
        <v>3372</v>
      </c>
      <c r="E246" t="s">
        <v>3373</v>
      </c>
      <c r="F246" t="s">
        <v>3374</v>
      </c>
      <c r="G246" t="s">
        <v>3375</v>
      </c>
      <c r="H246" s="1" t="s">
        <v>3376</v>
      </c>
      <c r="I246" t="s">
        <v>3359</v>
      </c>
    </row>
    <row r="247" spans="1:10" x14ac:dyDescent="0.25">
      <c r="A247" t="s">
        <v>828</v>
      </c>
      <c r="B247" t="s">
        <v>731</v>
      </c>
      <c r="C247" t="s">
        <v>3368</v>
      </c>
      <c r="D247" t="s">
        <v>3369</v>
      </c>
      <c r="E247">
        <v>1</v>
      </c>
      <c r="F247" t="s">
        <v>2213</v>
      </c>
      <c r="G247" t="s">
        <v>2037</v>
      </c>
      <c r="H247" t="s">
        <v>2038</v>
      </c>
      <c r="I247" t="s">
        <v>131</v>
      </c>
    </row>
    <row r="248" spans="1:10" x14ac:dyDescent="0.25">
      <c r="A248" t="s">
        <v>830</v>
      </c>
      <c r="B248" t="s">
        <v>731</v>
      </c>
      <c r="C248" t="s">
        <v>3368</v>
      </c>
      <c r="D248" t="s">
        <v>3369</v>
      </c>
      <c r="E248">
        <v>1</v>
      </c>
      <c r="F248" t="s">
        <v>2217</v>
      </c>
      <c r="G248" t="s">
        <v>2037</v>
      </c>
      <c r="H248" t="s">
        <v>2038</v>
      </c>
      <c r="I248" t="s">
        <v>132</v>
      </c>
    </row>
    <row r="249" spans="1:10" x14ac:dyDescent="0.25">
      <c r="A249" t="s">
        <v>832</v>
      </c>
      <c r="B249" t="s">
        <v>731</v>
      </c>
      <c r="C249" t="s">
        <v>3368</v>
      </c>
      <c r="D249" t="s">
        <v>3369</v>
      </c>
      <c r="E249">
        <v>1</v>
      </c>
      <c r="F249" t="s">
        <v>2221</v>
      </c>
      <c r="G249" t="s">
        <v>2037</v>
      </c>
      <c r="H249" t="s">
        <v>2038</v>
      </c>
      <c r="I249" t="s">
        <v>133</v>
      </c>
    </row>
    <row r="250" spans="1:10" x14ac:dyDescent="0.25">
      <c r="A250" t="s">
        <v>834</v>
      </c>
      <c r="B250" t="s">
        <v>731</v>
      </c>
      <c r="C250" t="s">
        <v>3368</v>
      </c>
      <c r="D250" t="s">
        <v>3369</v>
      </c>
      <c r="E250">
        <v>1</v>
      </c>
      <c r="F250" t="s">
        <v>2225</v>
      </c>
      <c r="G250" t="s">
        <v>2037</v>
      </c>
      <c r="H250" t="s">
        <v>2038</v>
      </c>
      <c r="I250" t="s">
        <v>134</v>
      </c>
    </row>
    <row r="251" spans="1:10" x14ac:dyDescent="0.25">
      <c r="A251" t="s">
        <v>836</v>
      </c>
      <c r="B251" t="s">
        <v>731</v>
      </c>
      <c r="C251" t="s">
        <v>3368</v>
      </c>
      <c r="D251" t="s">
        <v>3369</v>
      </c>
      <c r="E251">
        <v>1</v>
      </c>
      <c r="F251" t="s">
        <v>2229</v>
      </c>
      <c r="G251" t="s">
        <v>2037</v>
      </c>
      <c r="H251" t="s">
        <v>2038</v>
      </c>
      <c r="I251" t="s">
        <v>135</v>
      </c>
    </row>
    <row r="252" spans="1:10" x14ac:dyDescent="0.25">
      <c r="A252" t="s">
        <v>838</v>
      </c>
      <c r="B252" t="s">
        <v>731</v>
      </c>
      <c r="C252" t="s">
        <v>3368</v>
      </c>
      <c r="D252" t="s">
        <v>3369</v>
      </c>
      <c r="E252">
        <v>1</v>
      </c>
      <c r="F252" t="s">
        <v>2233</v>
      </c>
      <c r="G252" t="s">
        <v>2037</v>
      </c>
      <c r="H252" t="s">
        <v>2038</v>
      </c>
      <c r="I252" t="s">
        <v>136</v>
      </c>
    </row>
    <row r="253" spans="1:10" x14ac:dyDescent="0.25">
      <c r="A253" t="s">
        <v>799</v>
      </c>
      <c r="B253" t="s">
        <v>731</v>
      </c>
      <c r="C253" t="s">
        <v>3368</v>
      </c>
      <c r="D253" t="s">
        <v>3369</v>
      </c>
      <c r="E253">
        <v>1</v>
      </c>
      <c r="F253" t="s">
        <v>2155</v>
      </c>
      <c r="G253" t="s">
        <v>2037</v>
      </c>
      <c r="H253" t="s">
        <v>2038</v>
      </c>
      <c r="I253" t="s">
        <v>137</v>
      </c>
    </row>
    <row r="254" spans="1:10" x14ac:dyDescent="0.25">
      <c r="A254" t="s">
        <v>796</v>
      </c>
      <c r="B254" t="s">
        <v>731</v>
      </c>
      <c r="C254" t="s">
        <v>3368</v>
      </c>
      <c r="D254" t="s">
        <v>3369</v>
      </c>
      <c r="E254">
        <v>1</v>
      </c>
      <c r="F254" t="s">
        <v>2148</v>
      </c>
      <c r="G254" t="s">
        <v>2037</v>
      </c>
      <c r="H254" t="s">
        <v>2038</v>
      </c>
      <c r="I254" t="s">
        <v>138</v>
      </c>
    </row>
    <row r="255" spans="1:10" x14ac:dyDescent="0.25">
      <c r="A255" s="2" t="s">
        <v>3366</v>
      </c>
      <c r="B255" t="s">
        <v>731</v>
      </c>
      <c r="C255" t="s">
        <v>3368</v>
      </c>
      <c r="D255" t="s">
        <v>3369</v>
      </c>
      <c r="E255">
        <v>1</v>
      </c>
      <c r="F255" s="3" t="s">
        <v>2214</v>
      </c>
      <c r="G255" t="s">
        <v>2037</v>
      </c>
      <c r="H255" t="s">
        <v>2038</v>
      </c>
      <c r="I255" t="s">
        <v>148</v>
      </c>
    </row>
    <row r="256" spans="1:10" x14ac:dyDescent="0.25">
      <c r="A256" s="2" t="s">
        <v>3378</v>
      </c>
      <c r="B256" t="s">
        <v>731</v>
      </c>
      <c r="C256" t="s">
        <v>3368</v>
      </c>
      <c r="D256" t="s">
        <v>3369</v>
      </c>
      <c r="E256">
        <v>1</v>
      </c>
      <c r="F256" s="3" t="s">
        <v>2218</v>
      </c>
      <c r="G256" t="s">
        <v>2037</v>
      </c>
      <c r="H256" t="s">
        <v>2038</v>
      </c>
      <c r="I256" t="s">
        <v>149</v>
      </c>
    </row>
    <row r="257" spans="1:9" x14ac:dyDescent="0.25">
      <c r="A257" s="2" t="s">
        <v>3380</v>
      </c>
      <c r="B257" t="s">
        <v>731</v>
      </c>
      <c r="C257" t="s">
        <v>3368</v>
      </c>
      <c r="D257" t="s">
        <v>3369</v>
      </c>
      <c r="E257">
        <v>1</v>
      </c>
      <c r="F257" s="3" t="s">
        <v>2222</v>
      </c>
      <c r="G257" t="s">
        <v>2037</v>
      </c>
      <c r="H257" t="s">
        <v>2038</v>
      </c>
      <c r="I257" t="s">
        <v>150</v>
      </c>
    </row>
    <row r="258" spans="1:9" x14ac:dyDescent="0.25">
      <c r="A258" s="2" t="s">
        <v>3382</v>
      </c>
      <c r="B258" t="s">
        <v>731</v>
      </c>
      <c r="C258" t="s">
        <v>3368</v>
      </c>
      <c r="D258" t="s">
        <v>3369</v>
      </c>
      <c r="E258">
        <v>1</v>
      </c>
      <c r="F258" s="3" t="s">
        <v>2226</v>
      </c>
      <c r="G258" t="s">
        <v>2037</v>
      </c>
      <c r="H258" t="s">
        <v>2038</v>
      </c>
      <c r="I258" t="s">
        <v>151</v>
      </c>
    </row>
    <row r="259" spans="1:9" x14ac:dyDescent="0.25">
      <c r="A259" s="2" t="s">
        <v>3384</v>
      </c>
      <c r="B259" t="s">
        <v>731</v>
      </c>
      <c r="C259" t="s">
        <v>3368</v>
      </c>
      <c r="D259" t="s">
        <v>3369</v>
      </c>
      <c r="E259">
        <v>1</v>
      </c>
      <c r="F259" s="3" t="s">
        <v>2230</v>
      </c>
      <c r="G259" t="s">
        <v>2037</v>
      </c>
      <c r="H259" t="s">
        <v>2038</v>
      </c>
      <c r="I259" t="s">
        <v>152</v>
      </c>
    </row>
    <row r="260" spans="1:9" x14ac:dyDescent="0.25">
      <c r="A260" s="2" t="s">
        <v>3386</v>
      </c>
      <c r="B260" t="s">
        <v>731</v>
      </c>
      <c r="C260" t="s">
        <v>3368</v>
      </c>
      <c r="D260" t="s">
        <v>3369</v>
      </c>
      <c r="E260">
        <v>1</v>
      </c>
      <c r="F260" s="3" t="s">
        <v>2234</v>
      </c>
      <c r="G260" t="s">
        <v>2037</v>
      </c>
      <c r="H260" t="s">
        <v>2038</v>
      </c>
      <c r="I260" t="s">
        <v>153</v>
      </c>
    </row>
    <row r="261" spans="1:9" x14ac:dyDescent="0.25">
      <c r="A261" s="2" t="s">
        <v>3388</v>
      </c>
      <c r="B261" t="s">
        <v>731</v>
      </c>
      <c r="C261" t="s">
        <v>3368</v>
      </c>
      <c r="D261" t="s">
        <v>3369</v>
      </c>
      <c r="E261">
        <v>1</v>
      </c>
      <c r="F261" s="3" t="s">
        <v>2156</v>
      </c>
      <c r="G261" t="s">
        <v>2037</v>
      </c>
      <c r="H261" t="s">
        <v>2038</v>
      </c>
      <c r="I261" t="s">
        <v>154</v>
      </c>
    </row>
    <row r="262" spans="1:9" x14ac:dyDescent="0.25">
      <c r="A262" s="2" t="s">
        <v>3390</v>
      </c>
      <c r="B262" t="s">
        <v>731</v>
      </c>
      <c r="C262" t="s">
        <v>3368</v>
      </c>
      <c r="D262" t="s">
        <v>3369</v>
      </c>
      <c r="E262">
        <v>1</v>
      </c>
      <c r="F262" s="3" t="s">
        <v>2149</v>
      </c>
      <c r="G262" t="s">
        <v>2037</v>
      </c>
      <c r="H262" t="s">
        <v>2038</v>
      </c>
      <c r="I262" t="s">
        <v>155</v>
      </c>
    </row>
    <row r="263" spans="1:9" x14ac:dyDescent="0.25">
      <c r="A263" s="2" t="s">
        <v>3377</v>
      </c>
      <c r="B263" t="s">
        <v>731</v>
      </c>
      <c r="C263" t="s">
        <v>3368</v>
      </c>
      <c r="D263" t="s">
        <v>3369</v>
      </c>
      <c r="E263">
        <v>1</v>
      </c>
      <c r="F263" s="3" t="s">
        <v>2215</v>
      </c>
      <c r="G263" t="s">
        <v>2037</v>
      </c>
      <c r="H263" t="s">
        <v>2038</v>
      </c>
      <c r="I263" t="s">
        <v>165</v>
      </c>
    </row>
    <row r="264" spans="1:9" x14ac:dyDescent="0.25">
      <c r="A264" s="2" t="s">
        <v>3379</v>
      </c>
      <c r="B264" t="s">
        <v>731</v>
      </c>
      <c r="C264" t="s">
        <v>3368</v>
      </c>
      <c r="D264" t="s">
        <v>3369</v>
      </c>
      <c r="E264">
        <v>1</v>
      </c>
      <c r="F264" s="3" t="s">
        <v>2219</v>
      </c>
      <c r="G264" t="s">
        <v>2037</v>
      </c>
      <c r="H264" t="s">
        <v>2038</v>
      </c>
      <c r="I264" t="s">
        <v>166</v>
      </c>
    </row>
    <row r="265" spans="1:9" x14ac:dyDescent="0.25">
      <c r="A265" s="2" t="s">
        <v>3381</v>
      </c>
      <c r="B265" t="s">
        <v>731</v>
      </c>
      <c r="C265" t="s">
        <v>3368</v>
      </c>
      <c r="D265" t="s">
        <v>3369</v>
      </c>
      <c r="E265">
        <v>1</v>
      </c>
      <c r="F265" s="3" t="s">
        <v>2223</v>
      </c>
      <c r="G265" t="s">
        <v>2037</v>
      </c>
      <c r="H265" t="s">
        <v>2038</v>
      </c>
      <c r="I265" t="s">
        <v>167</v>
      </c>
    </row>
    <row r="266" spans="1:9" x14ac:dyDescent="0.25">
      <c r="A266" s="2" t="s">
        <v>3383</v>
      </c>
      <c r="B266" t="s">
        <v>731</v>
      </c>
      <c r="C266" t="s">
        <v>3368</v>
      </c>
      <c r="D266" t="s">
        <v>3369</v>
      </c>
      <c r="E266">
        <v>1</v>
      </c>
      <c r="F266" s="3" t="s">
        <v>2227</v>
      </c>
      <c r="G266" t="s">
        <v>2037</v>
      </c>
      <c r="H266" t="s">
        <v>2038</v>
      </c>
      <c r="I266" t="s">
        <v>168</v>
      </c>
    </row>
    <row r="267" spans="1:9" x14ac:dyDescent="0.25">
      <c r="A267" s="2" t="s">
        <v>3385</v>
      </c>
      <c r="B267" t="s">
        <v>731</v>
      </c>
      <c r="C267" t="s">
        <v>3368</v>
      </c>
      <c r="D267" t="s">
        <v>3369</v>
      </c>
      <c r="E267">
        <v>1</v>
      </c>
      <c r="F267" s="3" t="s">
        <v>2231</v>
      </c>
      <c r="G267" t="s">
        <v>2037</v>
      </c>
      <c r="H267" t="s">
        <v>2038</v>
      </c>
      <c r="I267" t="s">
        <v>169</v>
      </c>
    </row>
    <row r="268" spans="1:9" x14ac:dyDescent="0.25">
      <c r="A268" s="2" t="s">
        <v>3387</v>
      </c>
      <c r="B268" t="s">
        <v>731</v>
      </c>
      <c r="C268" t="s">
        <v>3368</v>
      </c>
      <c r="D268" t="s">
        <v>3369</v>
      </c>
      <c r="E268">
        <v>1</v>
      </c>
      <c r="F268" s="3" t="s">
        <v>2235</v>
      </c>
      <c r="G268" t="s">
        <v>2037</v>
      </c>
      <c r="H268" t="s">
        <v>2038</v>
      </c>
      <c r="I268" t="s">
        <v>170</v>
      </c>
    </row>
    <row r="269" spans="1:9" x14ac:dyDescent="0.25">
      <c r="A269" s="2" t="s">
        <v>3389</v>
      </c>
      <c r="B269" t="s">
        <v>731</v>
      </c>
      <c r="C269" t="s">
        <v>3368</v>
      </c>
      <c r="D269" t="s">
        <v>3369</v>
      </c>
      <c r="E269">
        <v>1</v>
      </c>
      <c r="F269" s="3" t="s">
        <v>2157</v>
      </c>
      <c r="G269" t="s">
        <v>2037</v>
      </c>
      <c r="H269" t="s">
        <v>2038</v>
      </c>
      <c r="I269" t="s">
        <v>171</v>
      </c>
    </row>
    <row r="270" spans="1:9" x14ac:dyDescent="0.25">
      <c r="A270" s="2" t="s">
        <v>3391</v>
      </c>
      <c r="B270" t="s">
        <v>731</v>
      </c>
      <c r="C270" t="s">
        <v>3368</v>
      </c>
      <c r="D270" t="s">
        <v>3369</v>
      </c>
      <c r="E270">
        <v>1</v>
      </c>
      <c r="F270" s="3" t="s">
        <v>2150</v>
      </c>
      <c r="G270" t="s">
        <v>2037</v>
      </c>
      <c r="H270" t="s">
        <v>2038</v>
      </c>
      <c r="I270" t="s">
        <v>172</v>
      </c>
    </row>
    <row r="271" spans="1:9" x14ac:dyDescent="0.25">
      <c r="A271" s="3" t="s">
        <v>829</v>
      </c>
      <c r="B271" t="s">
        <v>731</v>
      </c>
      <c r="C271" t="s">
        <v>3368</v>
      </c>
      <c r="D271" t="s">
        <v>3369</v>
      </c>
      <c r="E271">
        <v>1</v>
      </c>
      <c r="F271" t="s">
        <v>2216</v>
      </c>
      <c r="G271" t="s">
        <v>2037</v>
      </c>
      <c r="H271" t="s">
        <v>2038</v>
      </c>
      <c r="I271" t="s">
        <v>182</v>
      </c>
    </row>
    <row r="272" spans="1:9" x14ac:dyDescent="0.25">
      <c r="A272" s="3" t="s">
        <v>831</v>
      </c>
      <c r="B272" t="s">
        <v>731</v>
      </c>
      <c r="C272" t="s">
        <v>3368</v>
      </c>
      <c r="D272" t="s">
        <v>3369</v>
      </c>
      <c r="E272">
        <v>1</v>
      </c>
      <c r="F272" t="s">
        <v>2220</v>
      </c>
      <c r="G272" t="s">
        <v>2037</v>
      </c>
      <c r="H272" t="s">
        <v>2038</v>
      </c>
      <c r="I272" t="s">
        <v>183</v>
      </c>
    </row>
    <row r="273" spans="1:9" x14ac:dyDescent="0.25">
      <c r="A273" s="3" t="s">
        <v>833</v>
      </c>
      <c r="B273" t="s">
        <v>731</v>
      </c>
      <c r="C273" t="s">
        <v>3368</v>
      </c>
      <c r="D273" t="s">
        <v>3369</v>
      </c>
      <c r="E273">
        <v>1</v>
      </c>
      <c r="F273" t="s">
        <v>2224</v>
      </c>
      <c r="G273" t="s">
        <v>2037</v>
      </c>
      <c r="H273" t="s">
        <v>2038</v>
      </c>
      <c r="I273" t="s">
        <v>184</v>
      </c>
    </row>
    <row r="274" spans="1:9" x14ac:dyDescent="0.25">
      <c r="A274" s="3" t="s">
        <v>835</v>
      </c>
      <c r="B274" t="s">
        <v>731</v>
      </c>
      <c r="C274" t="s">
        <v>3368</v>
      </c>
      <c r="D274" t="s">
        <v>3369</v>
      </c>
      <c r="E274">
        <v>1</v>
      </c>
      <c r="F274" t="s">
        <v>2228</v>
      </c>
      <c r="G274" t="s">
        <v>2037</v>
      </c>
      <c r="H274" t="s">
        <v>2038</v>
      </c>
      <c r="I274" t="s">
        <v>185</v>
      </c>
    </row>
    <row r="275" spans="1:9" x14ac:dyDescent="0.25">
      <c r="A275" s="3" t="s">
        <v>837</v>
      </c>
      <c r="B275" t="s">
        <v>731</v>
      </c>
      <c r="C275" t="s">
        <v>3368</v>
      </c>
      <c r="D275" t="s">
        <v>3369</v>
      </c>
      <c r="E275">
        <v>1</v>
      </c>
      <c r="F275" t="s">
        <v>2232</v>
      </c>
      <c r="G275" t="s">
        <v>2037</v>
      </c>
      <c r="H275" t="s">
        <v>2038</v>
      </c>
      <c r="I275" t="s">
        <v>186</v>
      </c>
    </row>
    <row r="276" spans="1:9" x14ac:dyDescent="0.25">
      <c r="A276" s="3" t="s">
        <v>839</v>
      </c>
      <c r="B276" t="s">
        <v>731</v>
      </c>
      <c r="C276" t="s">
        <v>3368</v>
      </c>
      <c r="D276" t="s">
        <v>3369</v>
      </c>
      <c r="E276">
        <v>1</v>
      </c>
      <c r="F276" t="s">
        <v>2236</v>
      </c>
      <c r="G276" t="s">
        <v>2037</v>
      </c>
      <c r="H276" t="s">
        <v>2038</v>
      </c>
      <c r="I276" t="s">
        <v>187</v>
      </c>
    </row>
    <row r="277" spans="1:9" x14ac:dyDescent="0.25">
      <c r="A277" s="3" t="s">
        <v>800</v>
      </c>
      <c r="B277" t="s">
        <v>731</v>
      </c>
      <c r="C277" t="s">
        <v>3368</v>
      </c>
      <c r="D277" t="s">
        <v>3369</v>
      </c>
      <c r="E277">
        <v>1</v>
      </c>
      <c r="F277" t="s">
        <v>2158</v>
      </c>
      <c r="G277" t="s">
        <v>2037</v>
      </c>
      <c r="H277" t="s">
        <v>2038</v>
      </c>
      <c r="I277" t="s">
        <v>188</v>
      </c>
    </row>
    <row r="278" spans="1:9" x14ac:dyDescent="0.25">
      <c r="A278" s="3" t="s">
        <v>797</v>
      </c>
      <c r="B278" t="s">
        <v>731</v>
      </c>
      <c r="C278" t="s">
        <v>3368</v>
      </c>
      <c r="D278" t="s">
        <v>3369</v>
      </c>
      <c r="E278">
        <v>1</v>
      </c>
      <c r="F278" t="s">
        <v>2151</v>
      </c>
      <c r="G278" t="s">
        <v>2037</v>
      </c>
      <c r="H278" t="s">
        <v>2038</v>
      </c>
      <c r="I278" t="s">
        <v>189</v>
      </c>
    </row>
    <row r="279" spans="1:9" x14ac:dyDescent="0.25">
      <c r="A279" s="3" t="s">
        <v>874</v>
      </c>
      <c r="B279" t="s">
        <v>731</v>
      </c>
      <c r="C279" t="s">
        <v>3368</v>
      </c>
      <c r="D279" t="s">
        <v>3369</v>
      </c>
      <c r="E279">
        <v>1</v>
      </c>
      <c r="F279" t="s">
        <v>2271</v>
      </c>
      <c r="G279" t="s">
        <v>2037</v>
      </c>
      <c r="H279" t="s">
        <v>2038</v>
      </c>
      <c r="I279" t="s">
        <v>212</v>
      </c>
    </row>
    <row r="280" spans="1:9" x14ac:dyDescent="0.25">
      <c r="A280" s="3" t="s">
        <v>878</v>
      </c>
      <c r="B280" t="s">
        <v>731</v>
      </c>
      <c r="C280" t="s">
        <v>3368</v>
      </c>
      <c r="D280" t="s">
        <v>3369</v>
      </c>
      <c r="E280">
        <v>1</v>
      </c>
      <c r="F280" t="s">
        <v>2275</v>
      </c>
      <c r="G280" t="s">
        <v>2037</v>
      </c>
      <c r="H280" t="s">
        <v>2038</v>
      </c>
      <c r="I280" t="s">
        <v>213</v>
      </c>
    </row>
    <row r="281" spans="1:9" x14ac:dyDescent="0.25">
      <c r="A281" s="3" t="s">
        <v>883</v>
      </c>
      <c r="B281" t="s">
        <v>731</v>
      </c>
      <c r="C281" t="s">
        <v>3368</v>
      </c>
      <c r="D281" t="s">
        <v>3369</v>
      </c>
      <c r="E281">
        <v>1</v>
      </c>
      <c r="F281" t="s">
        <v>2280</v>
      </c>
      <c r="G281" t="s">
        <v>2037</v>
      </c>
      <c r="H281" t="s">
        <v>2038</v>
      </c>
      <c r="I281" t="s">
        <v>214</v>
      </c>
    </row>
    <row r="282" spans="1:9" x14ac:dyDescent="0.25">
      <c r="A282" s="3" t="s">
        <v>887</v>
      </c>
      <c r="B282" t="s">
        <v>731</v>
      </c>
      <c r="C282" t="s">
        <v>3368</v>
      </c>
      <c r="D282" t="s">
        <v>3369</v>
      </c>
      <c r="E282">
        <v>1</v>
      </c>
      <c r="F282" t="s">
        <v>2284</v>
      </c>
      <c r="G282" t="s">
        <v>2037</v>
      </c>
      <c r="H282" t="s">
        <v>2038</v>
      </c>
      <c r="I282" t="s">
        <v>215</v>
      </c>
    </row>
    <row r="283" spans="1:9" x14ac:dyDescent="0.25">
      <c r="A283" s="3" t="s">
        <v>891</v>
      </c>
      <c r="B283" t="s">
        <v>731</v>
      </c>
      <c r="C283" t="s">
        <v>3368</v>
      </c>
      <c r="D283" t="s">
        <v>3369</v>
      </c>
      <c r="E283">
        <v>1</v>
      </c>
      <c r="F283" t="s">
        <v>2288</v>
      </c>
      <c r="G283" t="s">
        <v>2037</v>
      </c>
      <c r="H283" t="s">
        <v>2038</v>
      </c>
      <c r="I283" t="s">
        <v>216</v>
      </c>
    </row>
    <row r="284" spans="1:9" x14ac:dyDescent="0.25">
      <c r="A284" s="3" t="s">
        <v>895</v>
      </c>
      <c r="B284" t="s">
        <v>731</v>
      </c>
      <c r="C284" t="s">
        <v>3368</v>
      </c>
      <c r="D284" t="s">
        <v>3369</v>
      </c>
      <c r="E284">
        <v>1</v>
      </c>
      <c r="F284" t="s">
        <v>2292</v>
      </c>
      <c r="G284" t="s">
        <v>2037</v>
      </c>
      <c r="H284" t="s">
        <v>2038</v>
      </c>
      <c r="I284" t="s">
        <v>217</v>
      </c>
    </row>
    <row r="285" spans="1:9" x14ac:dyDescent="0.25">
      <c r="A285" s="3" t="s">
        <v>872</v>
      </c>
      <c r="B285" t="s">
        <v>731</v>
      </c>
      <c r="C285" t="s">
        <v>3368</v>
      </c>
      <c r="D285" t="s">
        <v>3369</v>
      </c>
      <c r="E285">
        <v>1</v>
      </c>
      <c r="F285" t="s">
        <v>2269</v>
      </c>
      <c r="G285" t="s">
        <v>2037</v>
      </c>
      <c r="H285" t="s">
        <v>2038</v>
      </c>
      <c r="I285" t="s">
        <v>218</v>
      </c>
    </row>
    <row r="286" spans="1:9" x14ac:dyDescent="0.25">
      <c r="A286" s="3" t="s">
        <v>866</v>
      </c>
      <c r="B286" t="s">
        <v>731</v>
      </c>
      <c r="C286" t="s">
        <v>3368</v>
      </c>
      <c r="D286" t="s">
        <v>3369</v>
      </c>
      <c r="E286">
        <v>1</v>
      </c>
      <c r="F286" t="s">
        <v>2263</v>
      </c>
      <c r="G286" t="s">
        <v>2037</v>
      </c>
      <c r="H286" t="s">
        <v>2038</v>
      </c>
      <c r="I286" t="s">
        <v>219</v>
      </c>
    </row>
    <row r="287" spans="1:9" x14ac:dyDescent="0.25">
      <c r="A287" s="3" t="s">
        <v>875</v>
      </c>
      <c r="B287" t="s">
        <v>731</v>
      </c>
      <c r="C287" t="s">
        <v>3368</v>
      </c>
      <c r="D287" t="s">
        <v>3369</v>
      </c>
      <c r="E287">
        <v>1</v>
      </c>
      <c r="F287" t="s">
        <v>2272</v>
      </c>
      <c r="G287" t="s">
        <v>2037</v>
      </c>
      <c r="H287" t="s">
        <v>2038</v>
      </c>
      <c r="I287" t="s">
        <v>229</v>
      </c>
    </row>
    <row r="288" spans="1:9" x14ac:dyDescent="0.25">
      <c r="A288" s="3" t="s">
        <v>879</v>
      </c>
      <c r="B288" t="s">
        <v>731</v>
      </c>
      <c r="C288" t="s">
        <v>3368</v>
      </c>
      <c r="D288" t="s">
        <v>3369</v>
      </c>
      <c r="E288">
        <v>1</v>
      </c>
      <c r="F288" t="s">
        <v>2276</v>
      </c>
      <c r="G288" t="s">
        <v>2037</v>
      </c>
      <c r="H288" t="s">
        <v>2038</v>
      </c>
      <c r="I288" t="s">
        <v>230</v>
      </c>
    </row>
    <row r="289" spans="1:9" x14ac:dyDescent="0.25">
      <c r="A289" s="3" t="s">
        <v>884</v>
      </c>
      <c r="B289" t="s">
        <v>731</v>
      </c>
      <c r="C289" t="s">
        <v>3368</v>
      </c>
      <c r="D289" t="s">
        <v>3369</v>
      </c>
      <c r="E289">
        <v>1</v>
      </c>
      <c r="F289" t="s">
        <v>2281</v>
      </c>
      <c r="G289" t="s">
        <v>2037</v>
      </c>
      <c r="H289" t="s">
        <v>2038</v>
      </c>
      <c r="I289" t="s">
        <v>231</v>
      </c>
    </row>
    <row r="290" spans="1:9" x14ac:dyDescent="0.25">
      <c r="A290" s="3" t="s">
        <v>888</v>
      </c>
      <c r="B290" t="s">
        <v>731</v>
      </c>
      <c r="C290" t="s">
        <v>3368</v>
      </c>
      <c r="D290" t="s">
        <v>3369</v>
      </c>
      <c r="E290">
        <v>1</v>
      </c>
      <c r="F290" t="s">
        <v>2285</v>
      </c>
      <c r="G290" t="s">
        <v>2037</v>
      </c>
      <c r="H290" t="s">
        <v>2038</v>
      </c>
      <c r="I290" t="s">
        <v>232</v>
      </c>
    </row>
    <row r="291" spans="1:9" x14ac:dyDescent="0.25">
      <c r="A291" s="3" t="s">
        <v>892</v>
      </c>
      <c r="B291" t="s">
        <v>731</v>
      </c>
      <c r="C291" t="s">
        <v>3368</v>
      </c>
      <c r="D291" t="s">
        <v>3369</v>
      </c>
      <c r="E291">
        <v>1</v>
      </c>
      <c r="F291" t="s">
        <v>2289</v>
      </c>
      <c r="G291" t="s">
        <v>2037</v>
      </c>
      <c r="H291" t="s">
        <v>2038</v>
      </c>
      <c r="I291" t="s">
        <v>233</v>
      </c>
    </row>
    <row r="292" spans="1:9" x14ac:dyDescent="0.25">
      <c r="A292" s="3" t="s">
        <v>896</v>
      </c>
      <c r="B292" t="s">
        <v>731</v>
      </c>
      <c r="C292" t="s">
        <v>3368</v>
      </c>
      <c r="D292" t="s">
        <v>3369</v>
      </c>
      <c r="E292">
        <v>1</v>
      </c>
      <c r="F292" t="s">
        <v>2293</v>
      </c>
      <c r="G292" t="s">
        <v>2037</v>
      </c>
      <c r="H292" t="s">
        <v>2038</v>
      </c>
      <c r="I292" t="s">
        <v>234</v>
      </c>
    </row>
    <row r="293" spans="1:9" x14ac:dyDescent="0.25">
      <c r="A293" s="3" t="s">
        <v>870</v>
      </c>
      <c r="B293" t="s">
        <v>731</v>
      </c>
      <c r="C293" t="s">
        <v>3368</v>
      </c>
      <c r="D293" t="s">
        <v>3369</v>
      </c>
      <c r="E293">
        <v>1</v>
      </c>
      <c r="F293" t="s">
        <v>2267</v>
      </c>
      <c r="G293" t="s">
        <v>2037</v>
      </c>
      <c r="H293" t="s">
        <v>2038</v>
      </c>
      <c r="I293" t="s">
        <v>235</v>
      </c>
    </row>
    <row r="294" spans="1:9" x14ac:dyDescent="0.25">
      <c r="A294" s="3" t="s">
        <v>867</v>
      </c>
      <c r="B294" t="s">
        <v>731</v>
      </c>
      <c r="C294" t="s">
        <v>3368</v>
      </c>
      <c r="D294" t="s">
        <v>3369</v>
      </c>
      <c r="E294">
        <v>1</v>
      </c>
      <c r="F294" t="s">
        <v>2264</v>
      </c>
      <c r="G294" t="s">
        <v>2037</v>
      </c>
      <c r="H294" t="s">
        <v>2038</v>
      </c>
      <c r="I294" t="s">
        <v>236</v>
      </c>
    </row>
    <row r="295" spans="1:9" x14ac:dyDescent="0.25">
      <c r="A295" s="3" t="s">
        <v>876</v>
      </c>
      <c r="B295" t="s">
        <v>731</v>
      </c>
      <c r="C295" t="s">
        <v>3368</v>
      </c>
      <c r="D295" t="s">
        <v>3369</v>
      </c>
      <c r="E295">
        <v>1</v>
      </c>
      <c r="F295" t="s">
        <v>2273</v>
      </c>
      <c r="G295" t="s">
        <v>2037</v>
      </c>
      <c r="H295" t="s">
        <v>2038</v>
      </c>
      <c r="I295" t="s">
        <v>246</v>
      </c>
    </row>
    <row r="296" spans="1:9" x14ac:dyDescent="0.25">
      <c r="A296" s="3" t="s">
        <v>880</v>
      </c>
      <c r="B296" t="s">
        <v>731</v>
      </c>
      <c r="C296" t="s">
        <v>3368</v>
      </c>
      <c r="D296" t="s">
        <v>3369</v>
      </c>
      <c r="E296">
        <v>1</v>
      </c>
      <c r="F296" t="s">
        <v>2277</v>
      </c>
      <c r="G296" t="s">
        <v>2037</v>
      </c>
      <c r="H296" t="s">
        <v>2038</v>
      </c>
      <c r="I296" t="s">
        <v>247</v>
      </c>
    </row>
    <row r="297" spans="1:9" x14ac:dyDescent="0.25">
      <c r="A297" s="3" t="s">
        <v>885</v>
      </c>
      <c r="B297" t="s">
        <v>731</v>
      </c>
      <c r="C297" t="s">
        <v>3368</v>
      </c>
      <c r="D297" t="s">
        <v>3369</v>
      </c>
      <c r="E297">
        <v>1</v>
      </c>
      <c r="F297" t="s">
        <v>2282</v>
      </c>
      <c r="G297" t="s">
        <v>2037</v>
      </c>
      <c r="H297" t="s">
        <v>2038</v>
      </c>
      <c r="I297" t="s">
        <v>248</v>
      </c>
    </row>
    <row r="298" spans="1:9" x14ac:dyDescent="0.25">
      <c r="A298" s="3" t="s">
        <v>889</v>
      </c>
      <c r="B298" t="s">
        <v>731</v>
      </c>
      <c r="C298" t="s">
        <v>3368</v>
      </c>
      <c r="D298" t="s">
        <v>3369</v>
      </c>
      <c r="E298">
        <v>1</v>
      </c>
      <c r="F298" t="s">
        <v>2286</v>
      </c>
      <c r="G298" t="s">
        <v>2037</v>
      </c>
      <c r="H298" t="s">
        <v>2038</v>
      </c>
      <c r="I298" t="s">
        <v>249</v>
      </c>
    </row>
    <row r="299" spans="1:9" x14ac:dyDescent="0.25">
      <c r="A299" s="3" t="s">
        <v>893</v>
      </c>
      <c r="B299" t="s">
        <v>731</v>
      </c>
      <c r="C299" t="s">
        <v>3368</v>
      </c>
      <c r="D299" t="s">
        <v>3369</v>
      </c>
      <c r="E299">
        <v>1</v>
      </c>
      <c r="F299" t="s">
        <v>2290</v>
      </c>
      <c r="G299" t="s">
        <v>2037</v>
      </c>
      <c r="H299" t="s">
        <v>2038</v>
      </c>
      <c r="I299" t="s">
        <v>250</v>
      </c>
    </row>
    <row r="300" spans="1:9" x14ac:dyDescent="0.25">
      <c r="A300" s="3" t="s">
        <v>897</v>
      </c>
      <c r="B300" t="s">
        <v>731</v>
      </c>
      <c r="C300" t="s">
        <v>3368</v>
      </c>
      <c r="D300" t="s">
        <v>3369</v>
      </c>
      <c r="E300">
        <v>1</v>
      </c>
      <c r="F300" t="s">
        <v>2294</v>
      </c>
      <c r="G300" t="s">
        <v>2037</v>
      </c>
      <c r="H300" t="s">
        <v>2038</v>
      </c>
      <c r="I300" t="s">
        <v>251</v>
      </c>
    </row>
    <row r="301" spans="1:9" x14ac:dyDescent="0.25">
      <c r="A301" s="3" t="s">
        <v>871</v>
      </c>
      <c r="B301" t="s">
        <v>731</v>
      </c>
      <c r="C301" t="s">
        <v>3368</v>
      </c>
      <c r="D301" t="s">
        <v>3369</v>
      </c>
      <c r="E301">
        <v>1</v>
      </c>
      <c r="F301" t="s">
        <v>2268</v>
      </c>
      <c r="G301" t="s">
        <v>2037</v>
      </c>
      <c r="H301" t="s">
        <v>2038</v>
      </c>
      <c r="I301" t="s">
        <v>252</v>
      </c>
    </row>
    <row r="302" spans="1:9" x14ac:dyDescent="0.25">
      <c r="A302" s="3" t="s">
        <v>868</v>
      </c>
      <c r="B302" t="s">
        <v>731</v>
      </c>
      <c r="C302" t="s">
        <v>3368</v>
      </c>
      <c r="D302" t="s">
        <v>3369</v>
      </c>
      <c r="E302">
        <v>1</v>
      </c>
      <c r="F302" t="s">
        <v>2265</v>
      </c>
      <c r="G302" t="s">
        <v>2037</v>
      </c>
      <c r="H302" t="s">
        <v>2038</v>
      </c>
      <c r="I302" t="s">
        <v>253</v>
      </c>
    </row>
    <row r="303" spans="1:9" x14ac:dyDescent="0.25">
      <c r="A303" s="3" t="s">
        <v>877</v>
      </c>
      <c r="B303" t="s">
        <v>731</v>
      </c>
      <c r="C303" t="s">
        <v>3368</v>
      </c>
      <c r="D303" t="s">
        <v>3369</v>
      </c>
      <c r="E303">
        <v>1</v>
      </c>
      <c r="F303" t="s">
        <v>2274</v>
      </c>
      <c r="G303" t="s">
        <v>2037</v>
      </c>
      <c r="H303" t="s">
        <v>2038</v>
      </c>
      <c r="I303" t="s">
        <v>263</v>
      </c>
    </row>
    <row r="304" spans="1:9" x14ac:dyDescent="0.25">
      <c r="A304" s="3" t="s">
        <v>881</v>
      </c>
      <c r="B304" t="s">
        <v>731</v>
      </c>
      <c r="C304" t="s">
        <v>3368</v>
      </c>
      <c r="D304" t="s">
        <v>3369</v>
      </c>
      <c r="E304">
        <v>1</v>
      </c>
      <c r="F304" t="s">
        <v>2278</v>
      </c>
      <c r="G304" t="s">
        <v>2037</v>
      </c>
      <c r="H304" t="s">
        <v>2038</v>
      </c>
      <c r="I304" t="s">
        <v>264</v>
      </c>
    </row>
    <row r="305" spans="1:9" x14ac:dyDescent="0.25">
      <c r="A305" s="3" t="s">
        <v>886</v>
      </c>
      <c r="B305" t="s">
        <v>731</v>
      </c>
      <c r="C305" t="s">
        <v>3368</v>
      </c>
      <c r="D305" t="s">
        <v>3369</v>
      </c>
      <c r="E305">
        <v>1</v>
      </c>
      <c r="F305" t="s">
        <v>2283</v>
      </c>
      <c r="G305" t="s">
        <v>2037</v>
      </c>
      <c r="H305" t="s">
        <v>2038</v>
      </c>
      <c r="I305" t="s">
        <v>265</v>
      </c>
    </row>
    <row r="306" spans="1:9" x14ac:dyDescent="0.25">
      <c r="A306" s="3" t="s">
        <v>890</v>
      </c>
      <c r="B306" t="s">
        <v>731</v>
      </c>
      <c r="C306" t="s">
        <v>3368</v>
      </c>
      <c r="D306" t="s">
        <v>3369</v>
      </c>
      <c r="E306">
        <v>1</v>
      </c>
      <c r="F306" t="s">
        <v>2287</v>
      </c>
      <c r="G306" t="s">
        <v>2037</v>
      </c>
      <c r="H306" t="s">
        <v>2038</v>
      </c>
      <c r="I306" t="s">
        <v>266</v>
      </c>
    </row>
    <row r="307" spans="1:9" x14ac:dyDescent="0.25">
      <c r="A307" s="3" t="s">
        <v>894</v>
      </c>
      <c r="B307" t="s">
        <v>731</v>
      </c>
      <c r="C307" t="s">
        <v>3368</v>
      </c>
      <c r="D307" t="s">
        <v>3369</v>
      </c>
      <c r="E307">
        <v>1</v>
      </c>
      <c r="F307" t="s">
        <v>2291</v>
      </c>
      <c r="G307" t="s">
        <v>2037</v>
      </c>
      <c r="H307" t="s">
        <v>2038</v>
      </c>
      <c r="I307" t="s">
        <v>267</v>
      </c>
    </row>
    <row r="308" spans="1:9" x14ac:dyDescent="0.25">
      <c r="A308" s="3" t="s">
        <v>898</v>
      </c>
      <c r="B308" t="s">
        <v>731</v>
      </c>
      <c r="C308" t="s">
        <v>3368</v>
      </c>
      <c r="D308" t="s">
        <v>3369</v>
      </c>
      <c r="E308">
        <v>1</v>
      </c>
      <c r="F308" t="s">
        <v>2295</v>
      </c>
      <c r="G308" t="s">
        <v>2037</v>
      </c>
      <c r="H308" t="s">
        <v>2038</v>
      </c>
      <c r="I308" t="s">
        <v>268</v>
      </c>
    </row>
    <row r="309" spans="1:9" x14ac:dyDescent="0.25">
      <c r="A309" s="3" t="s">
        <v>873</v>
      </c>
      <c r="B309" t="s">
        <v>731</v>
      </c>
      <c r="C309" t="s">
        <v>3368</v>
      </c>
      <c r="D309" t="s">
        <v>3369</v>
      </c>
      <c r="E309">
        <v>1</v>
      </c>
      <c r="F309" t="s">
        <v>2270</v>
      </c>
      <c r="G309" t="s">
        <v>2037</v>
      </c>
      <c r="H309" t="s">
        <v>2038</v>
      </c>
      <c r="I309" t="s">
        <v>269</v>
      </c>
    </row>
    <row r="310" spans="1:9" x14ac:dyDescent="0.25">
      <c r="A310" s="3" t="s">
        <v>869</v>
      </c>
      <c r="B310" t="s">
        <v>731</v>
      </c>
      <c r="C310" t="s">
        <v>3368</v>
      </c>
      <c r="D310" t="s">
        <v>3369</v>
      </c>
      <c r="E310">
        <v>1</v>
      </c>
      <c r="F310" t="s">
        <v>2266</v>
      </c>
      <c r="G310" t="s">
        <v>2037</v>
      </c>
      <c r="H310" t="s">
        <v>2038</v>
      </c>
      <c r="I310" t="s">
        <v>270</v>
      </c>
    </row>
    <row r="311" spans="1:9" x14ac:dyDescent="0.25">
      <c r="A311" s="3" t="s">
        <v>751</v>
      </c>
      <c r="B311" t="s">
        <v>731</v>
      </c>
      <c r="C311" t="s">
        <v>3368</v>
      </c>
      <c r="D311" t="s">
        <v>3369</v>
      </c>
      <c r="E311">
        <v>2</v>
      </c>
      <c r="F311" t="s">
        <v>2101</v>
      </c>
      <c r="G311" t="s">
        <v>2037</v>
      </c>
      <c r="H311" t="s">
        <v>2038</v>
      </c>
      <c r="I311" t="s">
        <v>433</v>
      </c>
    </row>
    <row r="312" spans="1:9" x14ac:dyDescent="0.25">
      <c r="A312" s="3" t="s">
        <v>755</v>
      </c>
      <c r="B312" t="s">
        <v>731</v>
      </c>
      <c r="C312" t="s">
        <v>3368</v>
      </c>
      <c r="D312" t="s">
        <v>3369</v>
      </c>
      <c r="E312">
        <v>2</v>
      </c>
      <c r="F312" t="s">
        <v>2105</v>
      </c>
      <c r="G312" t="s">
        <v>2037</v>
      </c>
      <c r="H312" t="s">
        <v>2038</v>
      </c>
      <c r="I312" t="s">
        <v>434</v>
      </c>
    </row>
    <row r="313" spans="1:9" x14ac:dyDescent="0.25">
      <c r="A313" s="3" t="s">
        <v>816</v>
      </c>
      <c r="B313" t="s">
        <v>731</v>
      </c>
      <c r="C313" t="s">
        <v>3368</v>
      </c>
      <c r="D313" t="s">
        <v>3369</v>
      </c>
      <c r="E313">
        <v>2</v>
      </c>
      <c r="F313" t="s">
        <v>2174</v>
      </c>
      <c r="G313" t="s">
        <v>2037</v>
      </c>
      <c r="H313" t="s">
        <v>2038</v>
      </c>
      <c r="I313" t="s">
        <v>435</v>
      </c>
    </row>
    <row r="314" spans="1:9" x14ac:dyDescent="0.25">
      <c r="A314" s="3" t="s">
        <v>809</v>
      </c>
      <c r="B314" t="s">
        <v>731</v>
      </c>
      <c r="C314" t="s">
        <v>3368</v>
      </c>
      <c r="D314" t="s">
        <v>3369</v>
      </c>
      <c r="E314">
        <v>2</v>
      </c>
      <c r="F314" t="s">
        <v>2167</v>
      </c>
      <c r="G314" t="s">
        <v>2037</v>
      </c>
      <c r="H314" t="s">
        <v>2038</v>
      </c>
      <c r="I314" t="s">
        <v>436</v>
      </c>
    </row>
    <row r="315" spans="1:9" x14ac:dyDescent="0.25">
      <c r="A315" s="3" t="s">
        <v>820</v>
      </c>
      <c r="B315" t="s">
        <v>731</v>
      </c>
      <c r="C315" t="s">
        <v>3368</v>
      </c>
      <c r="D315" t="s">
        <v>3369</v>
      </c>
      <c r="E315">
        <v>2</v>
      </c>
      <c r="F315" t="s">
        <v>2178</v>
      </c>
      <c r="G315" t="s">
        <v>2037</v>
      </c>
      <c r="H315" t="s">
        <v>2038</v>
      </c>
      <c r="I315" t="s">
        <v>437</v>
      </c>
    </row>
    <row r="316" spans="1:9" x14ac:dyDescent="0.25">
      <c r="A316" s="3" t="s">
        <v>814</v>
      </c>
      <c r="B316" t="s">
        <v>731</v>
      </c>
      <c r="C316" t="s">
        <v>3368</v>
      </c>
      <c r="D316" t="s">
        <v>3369</v>
      </c>
      <c r="E316">
        <v>2</v>
      </c>
      <c r="F316" t="s">
        <v>2172</v>
      </c>
      <c r="G316" t="s">
        <v>2037</v>
      </c>
      <c r="H316" t="s">
        <v>2038</v>
      </c>
      <c r="I316" t="s">
        <v>438</v>
      </c>
    </row>
    <row r="317" spans="1:9" x14ac:dyDescent="0.25">
      <c r="A317" s="3" t="s">
        <v>860</v>
      </c>
      <c r="B317" t="s">
        <v>731</v>
      </c>
      <c r="C317" t="s">
        <v>3368</v>
      </c>
      <c r="D317" t="s">
        <v>3369</v>
      </c>
      <c r="E317">
        <v>2</v>
      </c>
      <c r="F317" t="s">
        <v>2257</v>
      </c>
      <c r="G317" t="s">
        <v>2037</v>
      </c>
      <c r="H317" t="s">
        <v>2038</v>
      </c>
      <c r="I317" t="s">
        <v>439</v>
      </c>
    </row>
    <row r="318" spans="1:9" x14ac:dyDescent="0.25">
      <c r="A318" s="3" t="s">
        <v>781</v>
      </c>
      <c r="B318" t="s">
        <v>731</v>
      </c>
      <c r="C318" t="s">
        <v>3368</v>
      </c>
      <c r="D318" t="s">
        <v>3369</v>
      </c>
      <c r="E318">
        <v>2</v>
      </c>
      <c r="F318" t="s">
        <v>2131</v>
      </c>
      <c r="G318" t="s">
        <v>2037</v>
      </c>
      <c r="H318" t="s">
        <v>2038</v>
      </c>
      <c r="I318" t="s">
        <v>440</v>
      </c>
    </row>
    <row r="319" spans="1:9" x14ac:dyDescent="0.25">
      <c r="A319" s="3" t="s">
        <v>752</v>
      </c>
      <c r="B319" t="s">
        <v>731</v>
      </c>
      <c r="C319" t="s">
        <v>3368</v>
      </c>
      <c r="D319" t="s">
        <v>3369</v>
      </c>
      <c r="E319">
        <v>2</v>
      </c>
      <c r="F319" t="s">
        <v>2102</v>
      </c>
      <c r="G319" t="s">
        <v>2037</v>
      </c>
      <c r="H319" t="s">
        <v>2038</v>
      </c>
      <c r="I319" t="s">
        <v>450</v>
      </c>
    </row>
    <row r="320" spans="1:9" x14ac:dyDescent="0.25">
      <c r="A320" s="3" t="s">
        <v>756</v>
      </c>
      <c r="B320" t="s">
        <v>731</v>
      </c>
      <c r="C320" t="s">
        <v>3368</v>
      </c>
      <c r="D320" t="s">
        <v>3369</v>
      </c>
      <c r="E320">
        <v>2</v>
      </c>
      <c r="F320" t="s">
        <v>2106</v>
      </c>
      <c r="G320" t="s">
        <v>2037</v>
      </c>
      <c r="H320" t="s">
        <v>2038</v>
      </c>
      <c r="I320" t="s">
        <v>451</v>
      </c>
    </row>
    <row r="321" spans="1:9" x14ac:dyDescent="0.25">
      <c r="A321" s="3" t="s">
        <v>817</v>
      </c>
      <c r="B321" t="s">
        <v>731</v>
      </c>
      <c r="C321" t="s">
        <v>3368</v>
      </c>
      <c r="D321" t="s">
        <v>3369</v>
      </c>
      <c r="E321">
        <v>2</v>
      </c>
      <c r="F321" t="s">
        <v>2175</v>
      </c>
      <c r="G321" t="s">
        <v>2037</v>
      </c>
      <c r="H321" t="s">
        <v>2038</v>
      </c>
      <c r="I321" t="s">
        <v>452</v>
      </c>
    </row>
    <row r="322" spans="1:9" x14ac:dyDescent="0.25">
      <c r="A322" s="3" t="s">
        <v>810</v>
      </c>
      <c r="B322" t="s">
        <v>731</v>
      </c>
      <c r="C322" t="s">
        <v>3368</v>
      </c>
      <c r="D322" t="s">
        <v>3369</v>
      </c>
      <c r="E322">
        <v>2</v>
      </c>
      <c r="F322" t="s">
        <v>2168</v>
      </c>
      <c r="G322" t="s">
        <v>2037</v>
      </c>
      <c r="H322" t="s">
        <v>2038</v>
      </c>
      <c r="I322" t="s">
        <v>453</v>
      </c>
    </row>
    <row r="323" spans="1:9" x14ac:dyDescent="0.25">
      <c r="A323" s="3" t="s">
        <v>821</v>
      </c>
      <c r="B323" t="s">
        <v>731</v>
      </c>
      <c r="C323" t="s">
        <v>3368</v>
      </c>
      <c r="D323" t="s">
        <v>3369</v>
      </c>
      <c r="E323">
        <v>2</v>
      </c>
      <c r="F323" t="s">
        <v>2179</v>
      </c>
      <c r="G323" t="s">
        <v>2037</v>
      </c>
      <c r="H323" t="s">
        <v>2038</v>
      </c>
      <c r="I323" t="s">
        <v>454</v>
      </c>
    </row>
    <row r="324" spans="1:9" x14ac:dyDescent="0.25">
      <c r="A324" s="3" t="s">
        <v>811</v>
      </c>
      <c r="B324" t="s">
        <v>731</v>
      </c>
      <c r="C324" t="s">
        <v>3368</v>
      </c>
      <c r="D324" t="s">
        <v>3369</v>
      </c>
      <c r="E324">
        <v>2</v>
      </c>
      <c r="F324" t="s">
        <v>2169</v>
      </c>
      <c r="G324" t="s">
        <v>2037</v>
      </c>
      <c r="H324" t="s">
        <v>2038</v>
      </c>
      <c r="I324" t="s">
        <v>455</v>
      </c>
    </row>
    <row r="325" spans="1:9" x14ac:dyDescent="0.25">
      <c r="A325" s="3" t="s">
        <v>783</v>
      </c>
      <c r="B325" t="s">
        <v>731</v>
      </c>
      <c r="C325" t="s">
        <v>3368</v>
      </c>
      <c r="D325" t="s">
        <v>3369</v>
      </c>
      <c r="E325">
        <v>2</v>
      </c>
      <c r="F325" t="s">
        <v>2133</v>
      </c>
      <c r="G325" t="s">
        <v>2037</v>
      </c>
      <c r="H325" t="s">
        <v>2038</v>
      </c>
      <c r="I325" t="s">
        <v>456</v>
      </c>
    </row>
    <row r="326" spans="1:9" x14ac:dyDescent="0.25">
      <c r="A326" s="3" t="s">
        <v>784</v>
      </c>
      <c r="B326" t="s">
        <v>731</v>
      </c>
      <c r="C326" t="s">
        <v>3368</v>
      </c>
      <c r="D326" t="s">
        <v>3369</v>
      </c>
      <c r="E326">
        <v>2</v>
      </c>
      <c r="F326" t="s">
        <v>2134</v>
      </c>
      <c r="G326" t="s">
        <v>2037</v>
      </c>
      <c r="H326" t="s">
        <v>2038</v>
      </c>
      <c r="I326" t="s">
        <v>457</v>
      </c>
    </row>
    <row r="327" spans="1:9" x14ac:dyDescent="0.25">
      <c r="A327" s="3" t="s">
        <v>753</v>
      </c>
      <c r="B327" t="s">
        <v>731</v>
      </c>
      <c r="C327" t="s">
        <v>3368</v>
      </c>
      <c r="D327" t="s">
        <v>3369</v>
      </c>
      <c r="E327">
        <v>2</v>
      </c>
      <c r="F327" t="s">
        <v>2103</v>
      </c>
      <c r="G327" t="s">
        <v>2037</v>
      </c>
      <c r="H327" t="s">
        <v>2038</v>
      </c>
      <c r="I327" t="s">
        <v>467</v>
      </c>
    </row>
    <row r="328" spans="1:9" x14ac:dyDescent="0.25">
      <c r="A328" s="3" t="s">
        <v>757</v>
      </c>
      <c r="B328" t="s">
        <v>731</v>
      </c>
      <c r="C328" t="s">
        <v>3368</v>
      </c>
      <c r="D328" t="s">
        <v>3369</v>
      </c>
      <c r="E328">
        <v>2</v>
      </c>
      <c r="F328" t="s">
        <v>2107</v>
      </c>
      <c r="G328" t="s">
        <v>2037</v>
      </c>
      <c r="H328" t="s">
        <v>2038</v>
      </c>
      <c r="I328" t="s">
        <v>468</v>
      </c>
    </row>
    <row r="329" spans="1:9" x14ac:dyDescent="0.25">
      <c r="A329" s="3" t="s">
        <v>818</v>
      </c>
      <c r="B329" t="s">
        <v>731</v>
      </c>
      <c r="C329" t="s">
        <v>3368</v>
      </c>
      <c r="D329" t="s">
        <v>3369</v>
      </c>
      <c r="E329">
        <v>2</v>
      </c>
      <c r="F329" t="s">
        <v>2176</v>
      </c>
      <c r="G329" t="s">
        <v>2037</v>
      </c>
      <c r="H329" t="s">
        <v>2038</v>
      </c>
      <c r="I329" t="s">
        <v>469</v>
      </c>
    </row>
    <row r="330" spans="1:9" x14ac:dyDescent="0.25">
      <c r="A330" s="3" t="s">
        <v>812</v>
      </c>
      <c r="B330" t="s">
        <v>731</v>
      </c>
      <c r="C330" t="s">
        <v>3368</v>
      </c>
      <c r="D330" t="s">
        <v>3369</v>
      </c>
      <c r="E330">
        <v>2</v>
      </c>
      <c r="F330" t="s">
        <v>2170</v>
      </c>
      <c r="G330" t="s">
        <v>2037</v>
      </c>
      <c r="H330" t="s">
        <v>2038</v>
      </c>
      <c r="I330" t="s">
        <v>470</v>
      </c>
    </row>
    <row r="331" spans="1:9" x14ac:dyDescent="0.25">
      <c r="A331" s="3" t="s">
        <v>822</v>
      </c>
      <c r="B331" t="s">
        <v>731</v>
      </c>
      <c r="C331" t="s">
        <v>3368</v>
      </c>
      <c r="D331" t="s">
        <v>3369</v>
      </c>
      <c r="E331">
        <v>2</v>
      </c>
      <c r="F331" t="s">
        <v>2180</v>
      </c>
      <c r="G331" t="s">
        <v>2037</v>
      </c>
      <c r="H331" t="s">
        <v>2038</v>
      </c>
      <c r="I331" t="s">
        <v>471</v>
      </c>
    </row>
    <row r="332" spans="1:9" x14ac:dyDescent="0.25">
      <c r="A332" s="3" t="s">
        <v>813</v>
      </c>
      <c r="B332" t="s">
        <v>731</v>
      </c>
      <c r="C332" t="s">
        <v>3368</v>
      </c>
      <c r="D332" t="s">
        <v>3369</v>
      </c>
      <c r="E332">
        <v>2</v>
      </c>
      <c r="F332" t="s">
        <v>2171</v>
      </c>
      <c r="G332" t="s">
        <v>2037</v>
      </c>
      <c r="H332" t="s">
        <v>2038</v>
      </c>
      <c r="I332" t="s">
        <v>472</v>
      </c>
    </row>
    <row r="333" spans="1:9" x14ac:dyDescent="0.25">
      <c r="A333" s="3" t="s">
        <v>861</v>
      </c>
      <c r="B333" t="s">
        <v>731</v>
      </c>
      <c r="C333" t="s">
        <v>3368</v>
      </c>
      <c r="D333" t="s">
        <v>3369</v>
      </c>
      <c r="E333">
        <v>2</v>
      </c>
      <c r="F333" t="s">
        <v>2258</v>
      </c>
      <c r="G333" t="s">
        <v>2037</v>
      </c>
      <c r="H333" t="s">
        <v>2038</v>
      </c>
      <c r="I333" t="s">
        <v>473</v>
      </c>
    </row>
    <row r="334" spans="1:9" x14ac:dyDescent="0.25">
      <c r="A334" s="3" t="s">
        <v>780</v>
      </c>
      <c r="B334" t="s">
        <v>731</v>
      </c>
      <c r="C334" t="s">
        <v>3368</v>
      </c>
      <c r="D334" t="s">
        <v>3369</v>
      </c>
      <c r="E334">
        <v>2</v>
      </c>
      <c r="F334" t="s">
        <v>2130</v>
      </c>
      <c r="G334" t="s">
        <v>2037</v>
      </c>
      <c r="H334" t="s">
        <v>2038</v>
      </c>
      <c r="I334" t="s">
        <v>474</v>
      </c>
    </row>
    <row r="335" spans="1:9" x14ac:dyDescent="0.25">
      <c r="A335" s="3" t="s">
        <v>754</v>
      </c>
      <c r="B335" t="s">
        <v>731</v>
      </c>
      <c r="C335" t="s">
        <v>3368</v>
      </c>
      <c r="D335" t="s">
        <v>3369</v>
      </c>
      <c r="E335">
        <v>2</v>
      </c>
      <c r="F335" t="s">
        <v>2104</v>
      </c>
      <c r="G335" t="s">
        <v>2037</v>
      </c>
      <c r="H335" t="s">
        <v>2038</v>
      </c>
      <c r="I335" t="s">
        <v>484</v>
      </c>
    </row>
    <row r="336" spans="1:9" x14ac:dyDescent="0.25">
      <c r="A336" s="3" t="s">
        <v>758</v>
      </c>
      <c r="B336" t="s">
        <v>731</v>
      </c>
      <c r="C336" t="s">
        <v>3368</v>
      </c>
      <c r="D336" t="s">
        <v>3369</v>
      </c>
      <c r="E336">
        <v>2</v>
      </c>
      <c r="F336" t="s">
        <v>2108</v>
      </c>
      <c r="G336" t="s">
        <v>2037</v>
      </c>
      <c r="H336" t="s">
        <v>2038</v>
      </c>
      <c r="I336" t="s">
        <v>485</v>
      </c>
    </row>
    <row r="337" spans="1:9" x14ac:dyDescent="0.25">
      <c r="A337" s="3" t="s">
        <v>819</v>
      </c>
      <c r="B337" t="s">
        <v>731</v>
      </c>
      <c r="C337" t="s">
        <v>3368</v>
      </c>
      <c r="D337" t="s">
        <v>3369</v>
      </c>
      <c r="E337">
        <v>2</v>
      </c>
      <c r="F337" t="s">
        <v>2177</v>
      </c>
      <c r="G337" t="s">
        <v>2037</v>
      </c>
      <c r="H337" t="s">
        <v>2038</v>
      </c>
      <c r="I337" t="s">
        <v>486</v>
      </c>
    </row>
    <row r="338" spans="1:9" x14ac:dyDescent="0.25">
      <c r="A338" s="3" t="s">
        <v>815</v>
      </c>
      <c r="B338" t="s">
        <v>731</v>
      </c>
      <c r="C338" t="s">
        <v>3368</v>
      </c>
      <c r="D338" t="s">
        <v>3369</v>
      </c>
      <c r="E338">
        <v>2</v>
      </c>
      <c r="F338" t="s">
        <v>2173</v>
      </c>
      <c r="G338" t="s">
        <v>2037</v>
      </c>
      <c r="H338" t="s">
        <v>2038</v>
      </c>
      <c r="I338" t="s">
        <v>487</v>
      </c>
    </row>
    <row r="339" spans="1:9" x14ac:dyDescent="0.25">
      <c r="A339" s="3" t="s">
        <v>823</v>
      </c>
      <c r="B339" t="s">
        <v>731</v>
      </c>
      <c r="C339" t="s">
        <v>3368</v>
      </c>
      <c r="D339" t="s">
        <v>3369</v>
      </c>
      <c r="E339">
        <v>2</v>
      </c>
      <c r="F339" t="s">
        <v>2181</v>
      </c>
      <c r="G339" t="s">
        <v>2037</v>
      </c>
      <c r="H339" t="s">
        <v>2038</v>
      </c>
      <c r="I339" t="s">
        <v>488</v>
      </c>
    </row>
    <row r="340" spans="1:9" x14ac:dyDescent="0.25">
      <c r="A340" s="3" t="s">
        <v>882</v>
      </c>
      <c r="B340" t="s">
        <v>731</v>
      </c>
      <c r="C340" t="s">
        <v>3368</v>
      </c>
      <c r="D340" t="s">
        <v>3369</v>
      </c>
      <c r="E340">
        <v>2</v>
      </c>
      <c r="F340" t="s">
        <v>2279</v>
      </c>
      <c r="G340" t="s">
        <v>2037</v>
      </c>
      <c r="H340" t="s">
        <v>2038</v>
      </c>
      <c r="I340" t="s">
        <v>489</v>
      </c>
    </row>
    <row r="341" spans="1:9" x14ac:dyDescent="0.25">
      <c r="A341" s="3" t="s">
        <v>779</v>
      </c>
      <c r="B341" t="s">
        <v>731</v>
      </c>
      <c r="C341" t="s">
        <v>3368</v>
      </c>
      <c r="D341" t="s">
        <v>3369</v>
      </c>
      <c r="E341">
        <v>2</v>
      </c>
      <c r="F341" t="s">
        <v>2129</v>
      </c>
      <c r="G341" t="s">
        <v>2037</v>
      </c>
      <c r="H341" t="s">
        <v>2038</v>
      </c>
      <c r="I341" t="s">
        <v>490</v>
      </c>
    </row>
    <row r="342" spans="1:9" x14ac:dyDescent="0.25">
      <c r="A342" s="3" t="s">
        <v>782</v>
      </c>
      <c r="B342" t="s">
        <v>731</v>
      </c>
      <c r="C342" t="s">
        <v>3368</v>
      </c>
      <c r="D342" t="s">
        <v>3369</v>
      </c>
      <c r="E342">
        <v>2</v>
      </c>
      <c r="F342" t="s">
        <v>2132</v>
      </c>
      <c r="G342" t="s">
        <v>2037</v>
      </c>
      <c r="H342" t="s">
        <v>2038</v>
      </c>
      <c r="I342" t="s">
        <v>491</v>
      </c>
    </row>
    <row r="343" spans="1:9" x14ac:dyDescent="0.25">
      <c r="A343" s="2" t="s">
        <v>3392</v>
      </c>
      <c r="B343" t="s">
        <v>731</v>
      </c>
      <c r="C343" t="s">
        <v>3368</v>
      </c>
      <c r="D343" t="s">
        <v>3369</v>
      </c>
      <c r="E343">
        <v>2</v>
      </c>
      <c r="F343" s="3" t="s">
        <v>2205</v>
      </c>
      <c r="G343" t="s">
        <v>2037</v>
      </c>
      <c r="H343" t="s">
        <v>2038</v>
      </c>
      <c r="I343" t="s">
        <v>501</v>
      </c>
    </row>
    <row r="344" spans="1:9" x14ac:dyDescent="0.25">
      <c r="A344" s="2" t="s">
        <v>3399</v>
      </c>
      <c r="B344" s="2"/>
      <c r="C344" s="2"/>
      <c r="D344" s="2"/>
      <c r="E344" s="2"/>
      <c r="F344" s="2"/>
      <c r="G344" s="2"/>
      <c r="H344" s="2"/>
      <c r="I344" t="s">
        <v>502</v>
      </c>
    </row>
    <row r="345" spans="1:9" x14ac:dyDescent="0.25">
      <c r="A345" s="2" t="s">
        <v>3393</v>
      </c>
      <c r="B345" t="s">
        <v>731</v>
      </c>
      <c r="C345" t="s">
        <v>3368</v>
      </c>
      <c r="D345" t="s">
        <v>3369</v>
      </c>
      <c r="E345">
        <v>2</v>
      </c>
      <c r="F345" s="3" t="s">
        <v>2198</v>
      </c>
      <c r="G345" t="s">
        <v>2037</v>
      </c>
      <c r="H345" t="s">
        <v>2038</v>
      </c>
      <c r="I345" t="s">
        <v>503</v>
      </c>
    </row>
    <row r="346" spans="1:9" x14ac:dyDescent="0.25">
      <c r="A346" s="2" t="s">
        <v>3394</v>
      </c>
      <c r="B346" t="s">
        <v>731</v>
      </c>
      <c r="C346" t="s">
        <v>3368</v>
      </c>
      <c r="D346" t="s">
        <v>3369</v>
      </c>
      <c r="E346">
        <v>2</v>
      </c>
      <c r="F346" s="3" t="s">
        <v>2206</v>
      </c>
      <c r="G346" t="s">
        <v>2037</v>
      </c>
      <c r="H346" t="s">
        <v>2038</v>
      </c>
      <c r="I346" t="s">
        <v>504</v>
      </c>
    </row>
    <row r="347" spans="1:9" x14ac:dyDescent="0.25">
      <c r="A347" s="2" t="s">
        <v>3395</v>
      </c>
      <c r="B347" t="s">
        <v>731</v>
      </c>
      <c r="C347" t="s">
        <v>3368</v>
      </c>
      <c r="D347" t="s">
        <v>3369</v>
      </c>
      <c r="E347">
        <v>2</v>
      </c>
      <c r="F347" s="3" t="s">
        <v>2190</v>
      </c>
      <c r="G347" t="s">
        <v>2037</v>
      </c>
      <c r="H347" t="s">
        <v>2038</v>
      </c>
      <c r="I347" t="s">
        <v>505</v>
      </c>
    </row>
    <row r="348" spans="1:9" x14ac:dyDescent="0.25">
      <c r="A348" s="2" t="s">
        <v>3396</v>
      </c>
      <c r="B348" t="s">
        <v>731</v>
      </c>
      <c r="C348" t="s">
        <v>3368</v>
      </c>
      <c r="D348" t="s">
        <v>3369</v>
      </c>
      <c r="E348">
        <v>2</v>
      </c>
      <c r="F348" s="3" t="s">
        <v>2194</v>
      </c>
      <c r="G348" t="s">
        <v>2037</v>
      </c>
      <c r="H348" t="s">
        <v>2038</v>
      </c>
      <c r="I348" t="s">
        <v>506</v>
      </c>
    </row>
    <row r="349" spans="1:9" x14ac:dyDescent="0.25">
      <c r="A349" s="2" t="s">
        <v>3397</v>
      </c>
      <c r="B349" t="s">
        <v>731</v>
      </c>
      <c r="C349" t="s">
        <v>3368</v>
      </c>
      <c r="D349" t="s">
        <v>3369</v>
      </c>
      <c r="E349">
        <v>2</v>
      </c>
      <c r="F349" s="3" t="s">
        <v>2182</v>
      </c>
      <c r="G349" t="s">
        <v>2037</v>
      </c>
      <c r="H349" t="s">
        <v>2038</v>
      </c>
      <c r="I349" t="s">
        <v>507</v>
      </c>
    </row>
    <row r="350" spans="1:9" x14ac:dyDescent="0.25">
      <c r="A350" s="2" t="s">
        <v>3398</v>
      </c>
      <c r="B350" t="s">
        <v>731</v>
      </c>
      <c r="C350" t="s">
        <v>3368</v>
      </c>
      <c r="D350" t="s">
        <v>3369</v>
      </c>
      <c r="E350">
        <v>2</v>
      </c>
      <c r="F350" s="3" t="s">
        <v>2143</v>
      </c>
      <c r="G350" t="s">
        <v>2037</v>
      </c>
      <c r="H350" t="s">
        <v>2038</v>
      </c>
      <c r="I350" t="s">
        <v>508</v>
      </c>
    </row>
    <row r="351" spans="1:9" x14ac:dyDescent="0.25">
      <c r="A351" s="2" t="s">
        <v>3400</v>
      </c>
      <c r="B351" t="s">
        <v>731</v>
      </c>
      <c r="C351" t="s">
        <v>3368</v>
      </c>
      <c r="D351" t="s">
        <v>3369</v>
      </c>
      <c r="E351">
        <v>2</v>
      </c>
      <c r="F351" s="3" t="s">
        <v>2082</v>
      </c>
      <c r="G351" t="s">
        <v>2037</v>
      </c>
      <c r="H351" s="1" t="s">
        <v>2038</v>
      </c>
      <c r="I351" t="s">
        <v>518</v>
      </c>
    </row>
    <row r="352" spans="1:9" x14ac:dyDescent="0.25">
      <c r="A352" s="2" t="s">
        <v>3401</v>
      </c>
      <c r="B352" t="s">
        <v>731</v>
      </c>
      <c r="C352" t="s">
        <v>3368</v>
      </c>
      <c r="D352" t="s">
        <v>3369</v>
      </c>
      <c r="E352">
        <v>2</v>
      </c>
      <c r="F352" s="3" t="s">
        <v>2091</v>
      </c>
      <c r="G352" t="s">
        <v>2037</v>
      </c>
      <c r="H352" s="1" t="s">
        <v>2038</v>
      </c>
      <c r="I352" t="s">
        <v>519</v>
      </c>
    </row>
    <row r="353" spans="1:9" x14ac:dyDescent="0.25">
      <c r="A353" s="2" t="s">
        <v>3403</v>
      </c>
      <c r="B353" t="s">
        <v>731</v>
      </c>
      <c r="C353" t="s">
        <v>3368</v>
      </c>
      <c r="D353" t="s">
        <v>3369</v>
      </c>
      <c r="E353">
        <v>2</v>
      </c>
      <c r="F353" s="3" t="s">
        <v>2086</v>
      </c>
      <c r="G353" t="s">
        <v>2037</v>
      </c>
      <c r="H353" s="1" t="s">
        <v>2038</v>
      </c>
      <c r="I353" t="s">
        <v>520</v>
      </c>
    </row>
    <row r="354" spans="1:9" x14ac:dyDescent="0.25">
      <c r="A354" s="2" t="s">
        <v>3404</v>
      </c>
      <c r="B354" t="s">
        <v>731</v>
      </c>
      <c r="C354" t="s">
        <v>3368</v>
      </c>
      <c r="D354" t="s">
        <v>3369</v>
      </c>
      <c r="E354">
        <v>2</v>
      </c>
      <c r="F354" s="3" t="s">
        <v>2092</v>
      </c>
      <c r="G354" t="s">
        <v>2037</v>
      </c>
      <c r="H354" t="s">
        <v>2038</v>
      </c>
      <c r="I354" t="s">
        <v>521</v>
      </c>
    </row>
    <row r="355" spans="1:9" x14ac:dyDescent="0.25">
      <c r="A355" s="2" t="s">
        <v>3405</v>
      </c>
      <c r="B355" t="s">
        <v>731</v>
      </c>
      <c r="C355" t="s">
        <v>3368</v>
      </c>
      <c r="D355" t="s">
        <v>3369</v>
      </c>
      <c r="E355">
        <v>2</v>
      </c>
      <c r="F355" s="3" t="s">
        <v>2098</v>
      </c>
      <c r="G355" t="s">
        <v>2037</v>
      </c>
      <c r="H355" t="s">
        <v>2038</v>
      </c>
      <c r="I355" t="s">
        <v>522</v>
      </c>
    </row>
    <row r="356" spans="1:9" x14ac:dyDescent="0.25">
      <c r="A356" s="2" t="s">
        <v>3406</v>
      </c>
      <c r="B356" t="s">
        <v>731</v>
      </c>
      <c r="C356" t="s">
        <v>3368</v>
      </c>
      <c r="D356" t="s">
        <v>3369</v>
      </c>
      <c r="E356">
        <v>2</v>
      </c>
      <c r="F356" s="3" t="s">
        <v>2110</v>
      </c>
      <c r="G356" t="s">
        <v>2037</v>
      </c>
      <c r="H356" t="s">
        <v>2038</v>
      </c>
      <c r="I356" t="s">
        <v>523</v>
      </c>
    </row>
    <row r="357" spans="1:9" x14ac:dyDescent="0.25">
      <c r="A357" s="2" t="s">
        <v>3407</v>
      </c>
      <c r="B357" t="s">
        <v>731</v>
      </c>
      <c r="C357" t="s">
        <v>3368</v>
      </c>
      <c r="D357" t="s">
        <v>3369</v>
      </c>
      <c r="E357">
        <v>2</v>
      </c>
      <c r="F357" s="3" t="s">
        <v>2191</v>
      </c>
      <c r="G357" t="s">
        <v>2037</v>
      </c>
      <c r="H357" t="s">
        <v>2038</v>
      </c>
      <c r="I357" t="s">
        <v>524</v>
      </c>
    </row>
    <row r="358" spans="1:9" x14ac:dyDescent="0.25">
      <c r="A358" s="2" t="s">
        <v>3402</v>
      </c>
      <c r="B358" t="s">
        <v>731</v>
      </c>
      <c r="C358" t="s">
        <v>3368</v>
      </c>
      <c r="D358" t="s">
        <v>3369</v>
      </c>
      <c r="E358">
        <v>2</v>
      </c>
      <c r="F358" s="3" t="s">
        <v>2154</v>
      </c>
      <c r="G358" t="s">
        <v>2037</v>
      </c>
      <c r="H358" t="s">
        <v>2038</v>
      </c>
      <c r="I358" t="s">
        <v>525</v>
      </c>
    </row>
    <row r="359" spans="1:9" x14ac:dyDescent="0.25">
      <c r="A359" s="2" t="s">
        <v>3408</v>
      </c>
      <c r="B359" t="s">
        <v>731</v>
      </c>
      <c r="C359" t="s">
        <v>3368</v>
      </c>
      <c r="D359" t="s">
        <v>3369</v>
      </c>
      <c r="E359">
        <v>2</v>
      </c>
      <c r="F359" s="3" t="s">
        <v>2083</v>
      </c>
      <c r="G359" t="s">
        <v>2037</v>
      </c>
      <c r="H359" s="1" t="s">
        <v>2038</v>
      </c>
      <c r="I359" t="s">
        <v>535</v>
      </c>
    </row>
    <row r="360" spans="1:9" x14ac:dyDescent="0.25">
      <c r="A360" s="2" t="s">
        <v>3409</v>
      </c>
      <c r="B360" t="s">
        <v>731</v>
      </c>
      <c r="C360" t="s">
        <v>3368</v>
      </c>
      <c r="D360" t="s">
        <v>3369</v>
      </c>
      <c r="E360">
        <v>2</v>
      </c>
      <c r="F360" s="3" t="s">
        <v>2093</v>
      </c>
      <c r="G360" t="s">
        <v>2037</v>
      </c>
      <c r="H360" t="s">
        <v>2038</v>
      </c>
      <c r="I360" t="s">
        <v>536</v>
      </c>
    </row>
    <row r="361" spans="1:9" x14ac:dyDescent="0.25">
      <c r="A361" s="2" t="s">
        <v>3410</v>
      </c>
      <c r="B361" t="s">
        <v>731</v>
      </c>
      <c r="C361" t="s">
        <v>3368</v>
      </c>
      <c r="D361" t="s">
        <v>3369</v>
      </c>
      <c r="E361">
        <v>2</v>
      </c>
      <c r="F361" s="3" t="s">
        <v>2087</v>
      </c>
      <c r="G361" t="s">
        <v>2037</v>
      </c>
      <c r="H361" s="1" t="s">
        <v>2038</v>
      </c>
      <c r="I361" t="s">
        <v>537</v>
      </c>
    </row>
    <row r="362" spans="1:9" x14ac:dyDescent="0.25">
      <c r="A362" s="2" t="s">
        <v>3411</v>
      </c>
      <c r="B362" t="s">
        <v>731</v>
      </c>
      <c r="C362" t="s">
        <v>3368</v>
      </c>
      <c r="D362" t="s">
        <v>3369</v>
      </c>
      <c r="E362">
        <v>2</v>
      </c>
      <c r="F362" s="3" t="s">
        <v>2094</v>
      </c>
      <c r="G362" t="s">
        <v>2037</v>
      </c>
      <c r="H362" t="s">
        <v>2038</v>
      </c>
      <c r="I362" t="s">
        <v>538</v>
      </c>
    </row>
    <row r="363" spans="1:9" x14ac:dyDescent="0.25">
      <c r="A363" s="2" t="s">
        <v>3412</v>
      </c>
      <c r="B363" t="s">
        <v>731</v>
      </c>
      <c r="C363" t="s">
        <v>3368</v>
      </c>
      <c r="D363" t="s">
        <v>3369</v>
      </c>
      <c r="E363">
        <v>2</v>
      </c>
      <c r="F363" s="3" t="s">
        <v>2099</v>
      </c>
      <c r="G363" t="s">
        <v>2037</v>
      </c>
      <c r="H363" t="s">
        <v>2038</v>
      </c>
      <c r="I363" t="s">
        <v>539</v>
      </c>
    </row>
    <row r="364" spans="1:9" x14ac:dyDescent="0.25">
      <c r="A364" s="2" t="s">
        <v>3413</v>
      </c>
      <c r="B364" t="s">
        <v>731</v>
      </c>
      <c r="C364" t="s">
        <v>3368</v>
      </c>
      <c r="D364" t="s">
        <v>3369</v>
      </c>
      <c r="E364">
        <v>2</v>
      </c>
      <c r="F364" s="3" t="s">
        <v>2111</v>
      </c>
      <c r="G364" t="s">
        <v>2037</v>
      </c>
      <c r="H364" t="s">
        <v>2038</v>
      </c>
      <c r="I364" t="s">
        <v>540</v>
      </c>
    </row>
    <row r="365" spans="1:9" x14ac:dyDescent="0.25">
      <c r="A365" s="2" t="s">
        <v>3414</v>
      </c>
      <c r="B365" t="s">
        <v>731</v>
      </c>
      <c r="C365" t="s">
        <v>3368</v>
      </c>
      <c r="D365" t="s">
        <v>3369</v>
      </c>
      <c r="E365">
        <v>2</v>
      </c>
      <c r="F365" s="3" t="s">
        <v>2192</v>
      </c>
      <c r="G365" t="s">
        <v>2037</v>
      </c>
      <c r="H365" t="s">
        <v>2038</v>
      </c>
      <c r="I365" t="s">
        <v>541</v>
      </c>
    </row>
    <row r="366" spans="1:9" x14ac:dyDescent="0.25">
      <c r="A366" s="2" t="s">
        <v>3415</v>
      </c>
      <c r="B366" t="s">
        <v>731</v>
      </c>
      <c r="C366" t="s">
        <v>3368</v>
      </c>
      <c r="D366" t="s">
        <v>3369</v>
      </c>
      <c r="E366">
        <v>2</v>
      </c>
      <c r="F366" s="3" t="s">
        <v>2147</v>
      </c>
      <c r="G366" t="s">
        <v>2037</v>
      </c>
      <c r="H366" t="s">
        <v>2038</v>
      </c>
      <c r="I366" t="s">
        <v>542</v>
      </c>
    </row>
    <row r="367" spans="1:9" x14ac:dyDescent="0.25">
      <c r="A367" s="2" t="s">
        <v>3423</v>
      </c>
      <c r="B367" t="s">
        <v>731</v>
      </c>
      <c r="C367" t="s">
        <v>3368</v>
      </c>
      <c r="D367" t="s">
        <v>3369</v>
      </c>
      <c r="E367">
        <v>2</v>
      </c>
      <c r="F367" s="3" t="s">
        <v>2084</v>
      </c>
      <c r="G367" t="s">
        <v>2037</v>
      </c>
      <c r="H367" s="1" t="s">
        <v>2038</v>
      </c>
      <c r="I367" t="s">
        <v>552</v>
      </c>
    </row>
    <row r="368" spans="1:9" x14ac:dyDescent="0.25">
      <c r="A368" s="2" t="s">
        <v>3422</v>
      </c>
      <c r="B368" t="s">
        <v>731</v>
      </c>
      <c r="C368" t="s">
        <v>3368</v>
      </c>
      <c r="D368" t="s">
        <v>3369</v>
      </c>
      <c r="E368">
        <v>2</v>
      </c>
      <c r="F368" s="3" t="s">
        <v>2095</v>
      </c>
      <c r="G368" t="s">
        <v>2037</v>
      </c>
      <c r="H368" t="s">
        <v>2038</v>
      </c>
      <c r="I368" t="s">
        <v>553</v>
      </c>
    </row>
    <row r="369" spans="1:9" x14ac:dyDescent="0.25">
      <c r="A369" s="2" t="s">
        <v>3421</v>
      </c>
      <c r="B369" t="s">
        <v>731</v>
      </c>
      <c r="C369" t="s">
        <v>3368</v>
      </c>
      <c r="D369" t="s">
        <v>3369</v>
      </c>
      <c r="E369">
        <v>2</v>
      </c>
      <c r="F369" s="3" t="s">
        <v>2088</v>
      </c>
      <c r="G369" t="s">
        <v>2037</v>
      </c>
      <c r="H369" s="1" t="s">
        <v>2038</v>
      </c>
      <c r="I369" t="s">
        <v>554</v>
      </c>
    </row>
    <row r="370" spans="1:9" x14ac:dyDescent="0.25">
      <c r="A370" s="2" t="s">
        <v>3420</v>
      </c>
      <c r="B370" t="s">
        <v>731</v>
      </c>
      <c r="C370" t="s">
        <v>3368</v>
      </c>
      <c r="D370" t="s">
        <v>3369</v>
      </c>
      <c r="E370">
        <v>2</v>
      </c>
      <c r="F370" s="3" t="s">
        <v>2096</v>
      </c>
      <c r="G370" t="s">
        <v>2037</v>
      </c>
      <c r="H370" t="s">
        <v>2038</v>
      </c>
      <c r="I370" t="s">
        <v>555</v>
      </c>
    </row>
    <row r="371" spans="1:9" x14ac:dyDescent="0.25">
      <c r="A371" s="2" t="s">
        <v>3419</v>
      </c>
      <c r="B371" t="s">
        <v>731</v>
      </c>
      <c r="C371" t="s">
        <v>3368</v>
      </c>
      <c r="D371" t="s">
        <v>3369</v>
      </c>
      <c r="E371">
        <v>2</v>
      </c>
      <c r="F371" s="3" t="s">
        <v>2100</v>
      </c>
      <c r="G371" t="s">
        <v>2037</v>
      </c>
      <c r="H371" t="s">
        <v>2038</v>
      </c>
      <c r="I371" t="s">
        <v>556</v>
      </c>
    </row>
    <row r="372" spans="1:9" x14ac:dyDescent="0.25">
      <c r="A372" s="2" t="s">
        <v>3418</v>
      </c>
      <c r="B372" t="s">
        <v>731</v>
      </c>
      <c r="C372" t="s">
        <v>3368</v>
      </c>
      <c r="D372" t="s">
        <v>3369</v>
      </c>
      <c r="E372">
        <v>2</v>
      </c>
      <c r="F372" s="3" t="s">
        <v>2112</v>
      </c>
      <c r="G372" t="s">
        <v>2037</v>
      </c>
      <c r="H372" t="s">
        <v>2038</v>
      </c>
      <c r="I372" t="s">
        <v>557</v>
      </c>
    </row>
    <row r="373" spans="1:9" x14ac:dyDescent="0.25">
      <c r="A373" s="2" t="s">
        <v>3417</v>
      </c>
      <c r="B373" t="s">
        <v>731</v>
      </c>
      <c r="C373" t="s">
        <v>3368</v>
      </c>
      <c r="D373" t="s">
        <v>3369</v>
      </c>
      <c r="E373">
        <v>2</v>
      </c>
      <c r="F373" s="3" t="s">
        <v>2193</v>
      </c>
      <c r="G373" t="s">
        <v>2037</v>
      </c>
      <c r="H373" t="s">
        <v>2038</v>
      </c>
      <c r="I373" t="s">
        <v>558</v>
      </c>
    </row>
    <row r="374" spans="1:9" x14ac:dyDescent="0.25">
      <c r="A374" s="2" t="s">
        <v>3416</v>
      </c>
      <c r="B374" t="s">
        <v>731</v>
      </c>
      <c r="C374" t="s">
        <v>3368</v>
      </c>
      <c r="D374" t="s">
        <v>3369</v>
      </c>
      <c r="E374">
        <v>2</v>
      </c>
      <c r="F374" s="3" t="s">
        <v>2146</v>
      </c>
      <c r="G374" t="s">
        <v>2037</v>
      </c>
      <c r="H374" t="s">
        <v>2038</v>
      </c>
      <c r="I374" t="s">
        <v>559</v>
      </c>
    </row>
    <row r="375" spans="1:9" x14ac:dyDescent="0.25">
      <c r="A375" s="3" t="s">
        <v>730</v>
      </c>
      <c r="B375" t="s">
        <v>731</v>
      </c>
      <c r="C375" t="s">
        <v>3368</v>
      </c>
      <c r="D375" t="s">
        <v>3369</v>
      </c>
      <c r="E375">
        <v>2</v>
      </c>
      <c r="F375" t="s">
        <v>2081</v>
      </c>
      <c r="G375" t="s">
        <v>2037</v>
      </c>
      <c r="H375" s="1" t="s">
        <v>2038</v>
      </c>
      <c r="I375" t="s">
        <v>569</v>
      </c>
    </row>
    <row r="376" spans="1:9" x14ac:dyDescent="0.25">
      <c r="A376" s="3" t="s">
        <v>739</v>
      </c>
      <c r="B376" t="s">
        <v>731</v>
      </c>
      <c r="C376" t="s">
        <v>3368</v>
      </c>
      <c r="D376" t="s">
        <v>3369</v>
      </c>
      <c r="E376">
        <v>2</v>
      </c>
      <c r="F376" t="s">
        <v>2089</v>
      </c>
      <c r="G376" t="s">
        <v>2037</v>
      </c>
      <c r="H376" s="1" t="s">
        <v>2038</v>
      </c>
      <c r="I376" t="s">
        <v>570</v>
      </c>
    </row>
    <row r="377" spans="1:9" x14ac:dyDescent="0.25">
      <c r="A377" s="3" t="s">
        <v>735</v>
      </c>
      <c r="B377" t="s">
        <v>731</v>
      </c>
      <c r="C377" t="s">
        <v>3368</v>
      </c>
      <c r="D377" t="s">
        <v>3369</v>
      </c>
      <c r="E377">
        <v>2</v>
      </c>
      <c r="F377" t="s">
        <v>2085</v>
      </c>
      <c r="G377" t="s">
        <v>2037</v>
      </c>
      <c r="H377" s="1" t="s">
        <v>2038</v>
      </c>
      <c r="I377" t="s">
        <v>571</v>
      </c>
    </row>
    <row r="378" spans="1:9" x14ac:dyDescent="0.25">
      <c r="A378" s="3" t="s">
        <v>740</v>
      </c>
      <c r="B378" t="s">
        <v>731</v>
      </c>
      <c r="C378" t="s">
        <v>3368</v>
      </c>
      <c r="D378" t="s">
        <v>3369</v>
      </c>
      <c r="E378">
        <v>2</v>
      </c>
      <c r="F378" t="s">
        <v>2090</v>
      </c>
      <c r="G378" t="s">
        <v>2037</v>
      </c>
      <c r="H378" s="1" t="s">
        <v>2038</v>
      </c>
      <c r="I378" t="s">
        <v>572</v>
      </c>
    </row>
    <row r="379" spans="1:9" x14ac:dyDescent="0.25">
      <c r="A379" s="3" t="s">
        <v>747</v>
      </c>
      <c r="B379" t="s">
        <v>731</v>
      </c>
      <c r="C379" t="s">
        <v>3368</v>
      </c>
      <c r="D379" t="s">
        <v>3369</v>
      </c>
      <c r="E379">
        <v>2</v>
      </c>
      <c r="F379" t="s">
        <v>2097</v>
      </c>
      <c r="G379" t="s">
        <v>2037</v>
      </c>
      <c r="H379" t="s">
        <v>2038</v>
      </c>
      <c r="I379" t="s">
        <v>573</v>
      </c>
    </row>
    <row r="380" spans="1:9" x14ac:dyDescent="0.25">
      <c r="A380" s="3" t="s">
        <v>759</v>
      </c>
      <c r="B380" t="s">
        <v>731</v>
      </c>
      <c r="C380" t="s">
        <v>3368</v>
      </c>
      <c r="D380" t="s">
        <v>3369</v>
      </c>
      <c r="E380">
        <v>2</v>
      </c>
      <c r="F380" t="s">
        <v>2109</v>
      </c>
      <c r="G380" t="s">
        <v>2037</v>
      </c>
      <c r="H380" t="s">
        <v>2038</v>
      </c>
      <c r="I380" t="s">
        <v>574</v>
      </c>
    </row>
    <row r="381" spans="1:9" x14ac:dyDescent="0.25">
      <c r="A381" s="3" t="s">
        <v>824</v>
      </c>
      <c r="B381" t="s">
        <v>731</v>
      </c>
      <c r="C381" t="s">
        <v>3368</v>
      </c>
      <c r="D381" t="s">
        <v>3369</v>
      </c>
      <c r="E381">
        <v>2</v>
      </c>
      <c r="F381" t="s">
        <v>2183</v>
      </c>
      <c r="G381" t="s">
        <v>2037</v>
      </c>
      <c r="H381" t="s">
        <v>2038</v>
      </c>
      <c r="I381" t="s">
        <v>575</v>
      </c>
    </row>
    <row r="382" spans="1:9" x14ac:dyDescent="0.25">
      <c r="A382" s="3" t="s">
        <v>793</v>
      </c>
      <c r="B382" t="s">
        <v>731</v>
      </c>
      <c r="C382" t="s">
        <v>3368</v>
      </c>
      <c r="D382" t="s">
        <v>3369</v>
      </c>
      <c r="E382">
        <v>2</v>
      </c>
      <c r="F382" t="s">
        <v>2153</v>
      </c>
      <c r="G382" t="s">
        <v>2037</v>
      </c>
      <c r="H382" t="s">
        <v>2038</v>
      </c>
      <c r="I382" t="s">
        <v>576</v>
      </c>
    </row>
    <row r="383" spans="1:9" x14ac:dyDescent="0.25">
      <c r="A383" s="3" t="s">
        <v>732</v>
      </c>
      <c r="B383" t="s">
        <v>731</v>
      </c>
      <c r="C383" t="s">
        <v>3368</v>
      </c>
      <c r="D383" t="s">
        <v>3369</v>
      </c>
      <c r="E383">
        <v>2</v>
      </c>
      <c r="F383" t="s">
        <v>2204</v>
      </c>
      <c r="G383" t="s">
        <v>2037</v>
      </c>
      <c r="H383" t="s">
        <v>2038</v>
      </c>
      <c r="I383" t="s">
        <v>586</v>
      </c>
    </row>
    <row r="384" spans="1:9" x14ac:dyDescent="0.25">
      <c r="A384" s="3" t="s">
        <v>741</v>
      </c>
      <c r="B384" t="s">
        <v>731</v>
      </c>
      <c r="C384" t="s">
        <v>3368</v>
      </c>
      <c r="D384" t="s">
        <v>3369</v>
      </c>
      <c r="E384">
        <v>2</v>
      </c>
      <c r="F384" t="s">
        <v>2207</v>
      </c>
      <c r="G384" t="s">
        <v>2037</v>
      </c>
      <c r="H384" t="s">
        <v>2038</v>
      </c>
      <c r="I384" t="s">
        <v>587</v>
      </c>
    </row>
    <row r="385" spans="1:9" x14ac:dyDescent="0.25">
      <c r="A385" s="3" t="s">
        <v>736</v>
      </c>
      <c r="B385" t="s">
        <v>731</v>
      </c>
      <c r="C385" t="s">
        <v>3368</v>
      </c>
      <c r="D385" t="s">
        <v>3369</v>
      </c>
      <c r="E385">
        <v>2</v>
      </c>
      <c r="F385" t="s">
        <v>2199</v>
      </c>
      <c r="G385" t="s">
        <v>2037</v>
      </c>
      <c r="H385" t="s">
        <v>2038</v>
      </c>
      <c r="I385" t="s">
        <v>588</v>
      </c>
    </row>
    <row r="386" spans="1:9" x14ac:dyDescent="0.25">
      <c r="A386" s="3" t="s">
        <v>742</v>
      </c>
      <c r="B386" t="s">
        <v>731</v>
      </c>
      <c r="C386" t="s">
        <v>3368</v>
      </c>
      <c r="D386" t="s">
        <v>3369</v>
      </c>
      <c r="E386">
        <v>2</v>
      </c>
      <c r="F386" t="s">
        <v>2208</v>
      </c>
      <c r="G386" t="s">
        <v>2037</v>
      </c>
      <c r="H386" t="s">
        <v>2038</v>
      </c>
      <c r="I386" t="s">
        <v>589</v>
      </c>
    </row>
    <row r="387" spans="1:9" x14ac:dyDescent="0.25">
      <c r="A387" s="3" t="s">
        <v>748</v>
      </c>
      <c r="B387" t="s">
        <v>731</v>
      </c>
      <c r="C387" t="s">
        <v>3368</v>
      </c>
      <c r="D387" t="s">
        <v>3369</v>
      </c>
      <c r="E387">
        <v>2</v>
      </c>
      <c r="F387" t="s">
        <v>2189</v>
      </c>
      <c r="G387" t="s">
        <v>2037</v>
      </c>
      <c r="H387" t="s">
        <v>2038</v>
      </c>
      <c r="I387" t="s">
        <v>590</v>
      </c>
    </row>
    <row r="388" spans="1:9" x14ac:dyDescent="0.25">
      <c r="A388" s="3" t="s">
        <v>760</v>
      </c>
      <c r="B388" t="s">
        <v>731</v>
      </c>
      <c r="C388" t="s">
        <v>3368</v>
      </c>
      <c r="D388" t="s">
        <v>3369</v>
      </c>
      <c r="E388">
        <v>2</v>
      </c>
      <c r="F388" t="s">
        <v>2195</v>
      </c>
      <c r="G388" t="s">
        <v>2037</v>
      </c>
      <c r="H388" t="s">
        <v>2038</v>
      </c>
      <c r="I388" t="s">
        <v>591</v>
      </c>
    </row>
    <row r="389" spans="1:9" x14ac:dyDescent="0.25">
      <c r="A389" s="3" t="s">
        <v>825</v>
      </c>
      <c r="B389" t="s">
        <v>731</v>
      </c>
      <c r="C389" t="s">
        <v>3368</v>
      </c>
      <c r="D389" t="s">
        <v>3369</v>
      </c>
      <c r="E389">
        <v>2</v>
      </c>
      <c r="F389" t="s">
        <v>2184</v>
      </c>
      <c r="G389" t="s">
        <v>2037</v>
      </c>
      <c r="H389" t="s">
        <v>2038</v>
      </c>
      <c r="I389" t="s">
        <v>592</v>
      </c>
    </row>
    <row r="390" spans="1:9" x14ac:dyDescent="0.25">
      <c r="A390" s="3" t="s">
        <v>798</v>
      </c>
      <c r="B390" t="s">
        <v>731</v>
      </c>
      <c r="C390" t="s">
        <v>3368</v>
      </c>
      <c r="D390" t="s">
        <v>3369</v>
      </c>
      <c r="E390">
        <v>2</v>
      </c>
      <c r="F390" t="s">
        <v>2152</v>
      </c>
      <c r="G390" t="s">
        <v>2037</v>
      </c>
      <c r="H390" t="s">
        <v>2038</v>
      </c>
      <c r="I390" t="s">
        <v>593</v>
      </c>
    </row>
    <row r="391" spans="1:9" x14ac:dyDescent="0.25">
      <c r="A391" s="3" t="s">
        <v>733</v>
      </c>
      <c r="B391" t="s">
        <v>731</v>
      </c>
      <c r="C391" t="s">
        <v>3368</v>
      </c>
      <c r="D391" t="s">
        <v>3369</v>
      </c>
      <c r="E391">
        <v>2</v>
      </c>
      <c r="F391" t="s">
        <v>2203</v>
      </c>
      <c r="G391" t="s">
        <v>2037</v>
      </c>
      <c r="H391" t="s">
        <v>2038</v>
      </c>
      <c r="I391" t="s">
        <v>603</v>
      </c>
    </row>
    <row r="392" spans="1:9" x14ac:dyDescent="0.25">
      <c r="A392" s="3" t="s">
        <v>743</v>
      </c>
      <c r="B392" t="s">
        <v>731</v>
      </c>
      <c r="C392" t="s">
        <v>3368</v>
      </c>
      <c r="D392" t="s">
        <v>3369</v>
      </c>
      <c r="E392">
        <v>2</v>
      </c>
      <c r="F392" t="s">
        <v>2209</v>
      </c>
      <c r="G392" t="s">
        <v>2037</v>
      </c>
      <c r="H392" t="s">
        <v>2038</v>
      </c>
      <c r="I392" t="s">
        <v>604</v>
      </c>
    </row>
    <row r="393" spans="1:9" x14ac:dyDescent="0.25">
      <c r="A393" s="3" t="s">
        <v>737</v>
      </c>
      <c r="B393" t="s">
        <v>731</v>
      </c>
      <c r="C393" t="s">
        <v>3368</v>
      </c>
      <c r="D393" t="s">
        <v>3369</v>
      </c>
      <c r="E393">
        <v>2</v>
      </c>
      <c r="F393" t="s">
        <v>2200</v>
      </c>
      <c r="G393" t="s">
        <v>2037</v>
      </c>
      <c r="H393" t="s">
        <v>2038</v>
      </c>
      <c r="I393" t="s">
        <v>605</v>
      </c>
    </row>
    <row r="394" spans="1:9" x14ac:dyDescent="0.25">
      <c r="A394" s="3" t="s">
        <v>744</v>
      </c>
      <c r="B394" t="s">
        <v>731</v>
      </c>
      <c r="C394" t="s">
        <v>3368</v>
      </c>
      <c r="D394" t="s">
        <v>3369</v>
      </c>
      <c r="E394">
        <v>2</v>
      </c>
      <c r="F394" t="s">
        <v>2210</v>
      </c>
      <c r="G394" t="s">
        <v>2037</v>
      </c>
      <c r="H394" t="s">
        <v>2038</v>
      </c>
      <c r="I394" t="s">
        <v>606</v>
      </c>
    </row>
    <row r="395" spans="1:9" x14ac:dyDescent="0.25">
      <c r="A395" s="3" t="s">
        <v>749</v>
      </c>
      <c r="B395" t="s">
        <v>731</v>
      </c>
      <c r="C395" t="s">
        <v>3368</v>
      </c>
      <c r="D395" t="s">
        <v>3369</v>
      </c>
      <c r="E395">
        <v>2</v>
      </c>
      <c r="F395" t="s">
        <v>2188</v>
      </c>
      <c r="G395" t="s">
        <v>2037</v>
      </c>
      <c r="H395" t="s">
        <v>2038</v>
      </c>
      <c r="I395" t="s">
        <v>607</v>
      </c>
    </row>
    <row r="396" spans="1:9" x14ac:dyDescent="0.25">
      <c r="A396" s="3" t="s">
        <v>761</v>
      </c>
      <c r="B396" t="s">
        <v>731</v>
      </c>
      <c r="C396" t="s">
        <v>3368</v>
      </c>
      <c r="D396" t="s">
        <v>3369</v>
      </c>
      <c r="E396">
        <v>2</v>
      </c>
      <c r="F396" t="s">
        <v>2196</v>
      </c>
      <c r="G396" t="s">
        <v>2037</v>
      </c>
      <c r="H396" t="s">
        <v>2038</v>
      </c>
      <c r="I396" t="s">
        <v>608</v>
      </c>
    </row>
    <row r="397" spans="1:9" x14ac:dyDescent="0.25">
      <c r="A397" s="3" t="s">
        <v>826</v>
      </c>
      <c r="B397" t="s">
        <v>731</v>
      </c>
      <c r="C397" t="s">
        <v>3368</v>
      </c>
      <c r="D397" t="s">
        <v>3369</v>
      </c>
      <c r="E397">
        <v>2</v>
      </c>
      <c r="F397" t="s">
        <v>2185</v>
      </c>
      <c r="G397" t="s">
        <v>2037</v>
      </c>
      <c r="H397" t="s">
        <v>2038</v>
      </c>
      <c r="I397" t="s">
        <v>609</v>
      </c>
    </row>
    <row r="398" spans="1:9" x14ac:dyDescent="0.25">
      <c r="A398" s="3" t="s">
        <v>795</v>
      </c>
      <c r="B398" t="s">
        <v>731</v>
      </c>
      <c r="C398" t="s">
        <v>3368</v>
      </c>
      <c r="D398" t="s">
        <v>3369</v>
      </c>
      <c r="E398">
        <v>2</v>
      </c>
      <c r="F398" t="s">
        <v>2145</v>
      </c>
      <c r="G398" t="s">
        <v>2037</v>
      </c>
      <c r="H398" t="s">
        <v>2038</v>
      </c>
      <c r="I398" t="s">
        <v>610</v>
      </c>
    </row>
    <row r="399" spans="1:9" x14ac:dyDescent="0.25">
      <c r="A399" s="3" t="s">
        <v>734</v>
      </c>
      <c r="B399" t="s">
        <v>731</v>
      </c>
      <c r="C399" t="s">
        <v>3368</v>
      </c>
      <c r="D399" t="s">
        <v>3369</v>
      </c>
      <c r="E399">
        <v>2</v>
      </c>
      <c r="F399" t="s">
        <v>2202</v>
      </c>
      <c r="G399" t="s">
        <v>2037</v>
      </c>
      <c r="H399" t="s">
        <v>2038</v>
      </c>
      <c r="I399" t="s">
        <v>620</v>
      </c>
    </row>
    <row r="400" spans="1:9" x14ac:dyDescent="0.25">
      <c r="A400" s="3" t="s">
        <v>745</v>
      </c>
      <c r="B400" t="s">
        <v>731</v>
      </c>
      <c r="C400" t="s">
        <v>3368</v>
      </c>
      <c r="D400" t="s">
        <v>3369</v>
      </c>
      <c r="E400">
        <v>2</v>
      </c>
      <c r="F400" t="s">
        <v>2211</v>
      </c>
      <c r="G400" t="s">
        <v>2037</v>
      </c>
      <c r="H400" t="s">
        <v>2038</v>
      </c>
      <c r="I400" t="s">
        <v>621</v>
      </c>
    </row>
    <row r="401" spans="1:9" x14ac:dyDescent="0.25">
      <c r="A401" s="3" t="s">
        <v>738</v>
      </c>
      <c r="B401" t="s">
        <v>731</v>
      </c>
      <c r="C401" t="s">
        <v>3368</v>
      </c>
      <c r="D401" t="s">
        <v>3369</v>
      </c>
      <c r="E401">
        <v>2</v>
      </c>
      <c r="F401" t="s">
        <v>2201</v>
      </c>
      <c r="G401" t="s">
        <v>2037</v>
      </c>
      <c r="H401" t="s">
        <v>2038</v>
      </c>
      <c r="I401" t="s">
        <v>622</v>
      </c>
    </row>
    <row r="402" spans="1:9" x14ac:dyDescent="0.25">
      <c r="A402" s="3" t="s">
        <v>746</v>
      </c>
      <c r="B402" t="s">
        <v>731</v>
      </c>
      <c r="C402" t="s">
        <v>3368</v>
      </c>
      <c r="D402" t="s">
        <v>3369</v>
      </c>
      <c r="E402">
        <v>2</v>
      </c>
      <c r="F402" t="s">
        <v>2212</v>
      </c>
      <c r="G402" t="s">
        <v>2037</v>
      </c>
      <c r="H402" t="s">
        <v>2038</v>
      </c>
      <c r="I402" t="s">
        <v>623</v>
      </c>
    </row>
    <row r="403" spans="1:9" x14ac:dyDescent="0.25">
      <c r="A403" s="3" t="s">
        <v>750</v>
      </c>
      <c r="B403" t="s">
        <v>731</v>
      </c>
      <c r="C403" t="s">
        <v>3368</v>
      </c>
      <c r="D403" t="s">
        <v>3369</v>
      </c>
      <c r="E403">
        <v>2</v>
      </c>
      <c r="F403" t="s">
        <v>2187</v>
      </c>
      <c r="G403" t="s">
        <v>2037</v>
      </c>
      <c r="H403" t="s">
        <v>2038</v>
      </c>
      <c r="I403" t="s">
        <v>624</v>
      </c>
    </row>
    <row r="404" spans="1:9" x14ac:dyDescent="0.25">
      <c r="A404" s="3" t="s">
        <v>762</v>
      </c>
      <c r="B404" t="s">
        <v>731</v>
      </c>
      <c r="C404" t="s">
        <v>3368</v>
      </c>
      <c r="D404" t="s">
        <v>3369</v>
      </c>
      <c r="E404">
        <v>2</v>
      </c>
      <c r="F404" t="s">
        <v>2197</v>
      </c>
      <c r="G404" t="s">
        <v>2037</v>
      </c>
      <c r="H404" t="s">
        <v>2038</v>
      </c>
      <c r="I404" t="s">
        <v>625</v>
      </c>
    </row>
    <row r="405" spans="1:9" x14ac:dyDescent="0.25">
      <c r="A405" s="3" t="s">
        <v>827</v>
      </c>
      <c r="B405" t="s">
        <v>731</v>
      </c>
      <c r="C405" t="s">
        <v>3368</v>
      </c>
      <c r="D405" t="s">
        <v>3369</v>
      </c>
      <c r="E405">
        <v>2</v>
      </c>
      <c r="F405" t="s">
        <v>2186</v>
      </c>
      <c r="G405" t="s">
        <v>2037</v>
      </c>
      <c r="H405" t="s">
        <v>2038</v>
      </c>
      <c r="I405" t="s">
        <v>626</v>
      </c>
    </row>
    <row r="406" spans="1:9" x14ac:dyDescent="0.25">
      <c r="A406" s="3" t="s">
        <v>794</v>
      </c>
      <c r="B406" t="s">
        <v>731</v>
      </c>
      <c r="C406" t="s">
        <v>3368</v>
      </c>
      <c r="D406" t="s">
        <v>3369</v>
      </c>
      <c r="E406">
        <v>2</v>
      </c>
      <c r="F406" t="s">
        <v>2144</v>
      </c>
      <c r="G406" t="s">
        <v>2037</v>
      </c>
      <c r="H406" t="s">
        <v>2038</v>
      </c>
      <c r="I406" t="s">
        <v>627</v>
      </c>
    </row>
    <row r="407" spans="1:9" x14ac:dyDescent="0.25">
      <c r="A407" s="3" t="s">
        <v>840</v>
      </c>
      <c r="B407" t="s">
        <v>731</v>
      </c>
      <c r="C407" t="s">
        <v>3368</v>
      </c>
      <c r="D407" t="s">
        <v>3369</v>
      </c>
      <c r="E407">
        <v>1</v>
      </c>
      <c r="F407" t="s">
        <v>2237</v>
      </c>
      <c r="G407" t="s">
        <v>2037</v>
      </c>
      <c r="H407" t="s">
        <v>2038</v>
      </c>
      <c r="I407" t="s">
        <v>281</v>
      </c>
    </row>
    <row r="408" spans="1:9" x14ac:dyDescent="0.25">
      <c r="A408" s="3" t="s">
        <v>842</v>
      </c>
      <c r="B408" t="s">
        <v>731</v>
      </c>
      <c r="C408" t="s">
        <v>3368</v>
      </c>
      <c r="D408" t="s">
        <v>3369</v>
      </c>
      <c r="E408">
        <v>1</v>
      </c>
      <c r="F408" t="s">
        <v>2239</v>
      </c>
      <c r="G408" t="s">
        <v>2037</v>
      </c>
      <c r="H408" t="s">
        <v>2038</v>
      </c>
      <c r="I408" t="s">
        <v>282</v>
      </c>
    </row>
    <row r="409" spans="1:9" x14ac:dyDescent="0.25">
      <c r="A409" s="3" t="s">
        <v>844</v>
      </c>
      <c r="B409" t="s">
        <v>731</v>
      </c>
      <c r="C409" t="s">
        <v>3368</v>
      </c>
      <c r="D409" t="s">
        <v>3369</v>
      </c>
      <c r="E409">
        <v>1</v>
      </c>
      <c r="F409" t="s">
        <v>2241</v>
      </c>
      <c r="G409" t="s">
        <v>2037</v>
      </c>
      <c r="H409" t="s">
        <v>2038</v>
      </c>
      <c r="I409" t="s">
        <v>283</v>
      </c>
    </row>
    <row r="410" spans="1:9" x14ac:dyDescent="0.25">
      <c r="A410" s="3" t="s">
        <v>846</v>
      </c>
      <c r="B410" t="s">
        <v>731</v>
      </c>
      <c r="C410" t="s">
        <v>3368</v>
      </c>
      <c r="D410" t="s">
        <v>3369</v>
      </c>
      <c r="E410">
        <v>1</v>
      </c>
      <c r="F410" t="s">
        <v>2243</v>
      </c>
      <c r="G410" t="s">
        <v>2037</v>
      </c>
      <c r="H410" t="s">
        <v>2038</v>
      </c>
      <c r="I410" t="s">
        <v>284</v>
      </c>
    </row>
    <row r="411" spans="1:9" x14ac:dyDescent="0.25">
      <c r="A411" s="3" t="s">
        <v>789</v>
      </c>
      <c r="B411" t="s">
        <v>731</v>
      </c>
      <c r="C411" t="s">
        <v>3368</v>
      </c>
      <c r="D411" t="s">
        <v>3369</v>
      </c>
      <c r="E411">
        <v>1</v>
      </c>
      <c r="F411" t="s">
        <v>2139</v>
      </c>
      <c r="G411" t="s">
        <v>2037</v>
      </c>
      <c r="H411" t="s">
        <v>2038</v>
      </c>
      <c r="I411" t="s">
        <v>285</v>
      </c>
    </row>
    <row r="412" spans="1:9" x14ac:dyDescent="0.25">
      <c r="A412" s="3" t="s">
        <v>790</v>
      </c>
      <c r="B412" t="s">
        <v>731</v>
      </c>
      <c r="C412" t="s">
        <v>3368</v>
      </c>
      <c r="D412" t="s">
        <v>3369</v>
      </c>
      <c r="E412">
        <v>1</v>
      </c>
      <c r="F412" t="s">
        <v>2140</v>
      </c>
      <c r="G412" t="s">
        <v>2037</v>
      </c>
      <c r="H412" t="s">
        <v>2038</v>
      </c>
      <c r="I412" t="s">
        <v>286</v>
      </c>
    </row>
    <row r="413" spans="1:9" x14ac:dyDescent="0.25">
      <c r="A413" s="3" t="s">
        <v>841</v>
      </c>
      <c r="B413" t="s">
        <v>731</v>
      </c>
      <c r="C413" t="s">
        <v>3368</v>
      </c>
      <c r="D413" t="s">
        <v>3369</v>
      </c>
      <c r="E413">
        <v>1</v>
      </c>
      <c r="F413" t="s">
        <v>2238</v>
      </c>
      <c r="G413" t="s">
        <v>2037</v>
      </c>
      <c r="H413" t="s">
        <v>2038</v>
      </c>
      <c r="I413" t="s">
        <v>302</v>
      </c>
    </row>
    <row r="414" spans="1:9" x14ac:dyDescent="0.25">
      <c r="A414" s="3" t="s">
        <v>847</v>
      </c>
      <c r="B414" t="s">
        <v>731</v>
      </c>
      <c r="C414" t="s">
        <v>3368</v>
      </c>
      <c r="D414" t="s">
        <v>3369</v>
      </c>
      <c r="E414">
        <v>1</v>
      </c>
      <c r="F414" t="s">
        <v>2244</v>
      </c>
      <c r="G414" t="s">
        <v>2037</v>
      </c>
      <c r="H414" t="s">
        <v>2038</v>
      </c>
      <c r="I414" t="s">
        <v>303</v>
      </c>
    </row>
    <row r="415" spans="1:9" x14ac:dyDescent="0.25">
      <c r="A415" s="3" t="s">
        <v>849</v>
      </c>
      <c r="B415" t="s">
        <v>731</v>
      </c>
      <c r="C415" t="s">
        <v>3368</v>
      </c>
      <c r="D415" t="s">
        <v>3369</v>
      </c>
      <c r="E415">
        <v>1</v>
      </c>
      <c r="F415" t="s">
        <v>2246</v>
      </c>
      <c r="G415" t="s">
        <v>2037</v>
      </c>
      <c r="H415" t="s">
        <v>2038</v>
      </c>
      <c r="I415" t="s">
        <v>304</v>
      </c>
    </row>
    <row r="416" spans="1:9" x14ac:dyDescent="0.25">
      <c r="A416" s="3" t="s">
        <v>851</v>
      </c>
      <c r="B416" t="s">
        <v>731</v>
      </c>
      <c r="C416" t="s">
        <v>3368</v>
      </c>
      <c r="D416" t="s">
        <v>3369</v>
      </c>
      <c r="E416">
        <v>1</v>
      </c>
      <c r="F416" t="s">
        <v>2248</v>
      </c>
      <c r="G416" t="s">
        <v>2037</v>
      </c>
      <c r="H416" t="s">
        <v>2038</v>
      </c>
      <c r="I416" t="s">
        <v>305</v>
      </c>
    </row>
    <row r="417" spans="1:9" x14ac:dyDescent="0.25">
      <c r="A417" s="3" t="s">
        <v>865</v>
      </c>
      <c r="B417" t="s">
        <v>731</v>
      </c>
      <c r="C417" t="s">
        <v>3368</v>
      </c>
      <c r="D417" t="s">
        <v>3369</v>
      </c>
      <c r="E417">
        <v>1</v>
      </c>
      <c r="F417" t="s">
        <v>2262</v>
      </c>
      <c r="G417" t="s">
        <v>2037</v>
      </c>
      <c r="H417" t="s">
        <v>2038</v>
      </c>
      <c r="I417" t="s">
        <v>306</v>
      </c>
    </row>
    <row r="418" spans="1:9" x14ac:dyDescent="0.25">
      <c r="A418" s="3" t="s">
        <v>791</v>
      </c>
      <c r="B418" t="s">
        <v>731</v>
      </c>
      <c r="C418" t="s">
        <v>3368</v>
      </c>
      <c r="D418" t="s">
        <v>3369</v>
      </c>
      <c r="E418">
        <v>1</v>
      </c>
      <c r="F418" t="s">
        <v>2141</v>
      </c>
      <c r="G418" t="s">
        <v>2037</v>
      </c>
      <c r="H418" t="s">
        <v>2038</v>
      </c>
      <c r="I418" t="s">
        <v>307</v>
      </c>
    </row>
    <row r="419" spans="1:9" x14ac:dyDescent="0.25">
      <c r="A419" s="3" t="s">
        <v>843</v>
      </c>
      <c r="B419" t="s">
        <v>731</v>
      </c>
      <c r="C419" t="s">
        <v>3368</v>
      </c>
      <c r="D419" t="s">
        <v>3369</v>
      </c>
      <c r="E419">
        <v>1</v>
      </c>
      <c r="F419" t="s">
        <v>2240</v>
      </c>
      <c r="G419" t="s">
        <v>2037</v>
      </c>
      <c r="H419" t="s">
        <v>2038</v>
      </c>
      <c r="I419" t="s">
        <v>325</v>
      </c>
    </row>
    <row r="420" spans="1:9" x14ac:dyDescent="0.25">
      <c r="A420" s="3" t="s">
        <v>848</v>
      </c>
      <c r="B420" t="s">
        <v>731</v>
      </c>
      <c r="C420" t="s">
        <v>3368</v>
      </c>
      <c r="D420" t="s">
        <v>3369</v>
      </c>
      <c r="E420">
        <v>1</v>
      </c>
      <c r="F420" t="s">
        <v>2245</v>
      </c>
      <c r="G420" t="s">
        <v>2037</v>
      </c>
      <c r="H420" t="s">
        <v>2038</v>
      </c>
      <c r="I420" t="s">
        <v>326</v>
      </c>
    </row>
    <row r="421" spans="1:9" x14ac:dyDescent="0.25">
      <c r="A421" s="3" t="s">
        <v>854</v>
      </c>
      <c r="B421" t="s">
        <v>731</v>
      </c>
      <c r="C421" t="s">
        <v>3368</v>
      </c>
      <c r="D421" t="s">
        <v>3369</v>
      </c>
      <c r="E421">
        <v>1</v>
      </c>
      <c r="F421" t="s">
        <v>2251</v>
      </c>
      <c r="G421" t="s">
        <v>2037</v>
      </c>
      <c r="H421" t="s">
        <v>2038</v>
      </c>
      <c r="I421" t="s">
        <v>327</v>
      </c>
    </row>
    <row r="422" spans="1:9" x14ac:dyDescent="0.25">
      <c r="A422" s="3" t="s">
        <v>856</v>
      </c>
      <c r="B422" t="s">
        <v>731</v>
      </c>
      <c r="C422" t="s">
        <v>3368</v>
      </c>
      <c r="D422" t="s">
        <v>3369</v>
      </c>
      <c r="E422">
        <v>1</v>
      </c>
      <c r="F422" t="s">
        <v>2253</v>
      </c>
      <c r="G422" t="s">
        <v>2037</v>
      </c>
      <c r="H422" t="s">
        <v>2038</v>
      </c>
      <c r="I422" t="s">
        <v>328</v>
      </c>
    </row>
    <row r="423" spans="1:9" x14ac:dyDescent="0.25">
      <c r="A423" s="3" t="s">
        <v>862</v>
      </c>
      <c r="B423" t="s">
        <v>731</v>
      </c>
      <c r="C423" t="s">
        <v>3368</v>
      </c>
      <c r="D423" t="s">
        <v>3369</v>
      </c>
      <c r="E423">
        <v>1</v>
      </c>
      <c r="F423" t="s">
        <v>2259</v>
      </c>
      <c r="G423" t="s">
        <v>2037</v>
      </c>
      <c r="H423" t="s">
        <v>2038</v>
      </c>
      <c r="I423" t="s">
        <v>329</v>
      </c>
    </row>
    <row r="424" spans="1:9" x14ac:dyDescent="0.25">
      <c r="A424" s="2" t="s">
        <v>3365</v>
      </c>
      <c r="B424" s="2"/>
      <c r="C424" s="2"/>
      <c r="D424" s="2"/>
      <c r="E424" s="2"/>
      <c r="F424" s="2"/>
      <c r="G424" s="2"/>
      <c r="H424" s="2"/>
      <c r="I424" t="s">
        <v>1538</v>
      </c>
    </row>
    <row r="425" spans="1:9" x14ac:dyDescent="0.25">
      <c r="A425" s="3" t="s">
        <v>845</v>
      </c>
      <c r="B425" t="s">
        <v>731</v>
      </c>
      <c r="C425" t="s">
        <v>3368</v>
      </c>
      <c r="D425" t="s">
        <v>3369</v>
      </c>
      <c r="E425">
        <v>1</v>
      </c>
      <c r="F425" t="s">
        <v>2242</v>
      </c>
      <c r="G425" t="s">
        <v>2037</v>
      </c>
      <c r="H425" t="s">
        <v>2038</v>
      </c>
      <c r="I425" t="s">
        <v>347</v>
      </c>
    </row>
    <row r="426" spans="1:9" x14ac:dyDescent="0.25">
      <c r="A426" s="3" t="s">
        <v>850</v>
      </c>
      <c r="B426" t="s">
        <v>731</v>
      </c>
      <c r="C426" t="s">
        <v>3368</v>
      </c>
      <c r="D426" t="s">
        <v>3369</v>
      </c>
      <c r="E426">
        <v>1</v>
      </c>
      <c r="F426" t="s">
        <v>2247</v>
      </c>
      <c r="G426" t="s">
        <v>2037</v>
      </c>
      <c r="H426" t="s">
        <v>2038</v>
      </c>
      <c r="I426" t="s">
        <v>348</v>
      </c>
    </row>
    <row r="427" spans="1:9" x14ac:dyDescent="0.25">
      <c r="A427" s="3" t="s">
        <v>855</v>
      </c>
      <c r="B427" t="s">
        <v>731</v>
      </c>
      <c r="C427" t="s">
        <v>3368</v>
      </c>
      <c r="D427" t="s">
        <v>3369</v>
      </c>
      <c r="E427">
        <v>1</v>
      </c>
      <c r="F427" t="s">
        <v>2252</v>
      </c>
      <c r="G427" t="s">
        <v>2037</v>
      </c>
      <c r="H427" t="s">
        <v>2038</v>
      </c>
      <c r="I427" t="s">
        <v>349</v>
      </c>
    </row>
    <row r="428" spans="1:9" x14ac:dyDescent="0.25">
      <c r="A428" s="3" t="s">
        <v>858</v>
      </c>
      <c r="B428" t="s">
        <v>731</v>
      </c>
      <c r="C428" t="s">
        <v>3368</v>
      </c>
      <c r="D428" t="s">
        <v>3369</v>
      </c>
      <c r="E428">
        <v>1</v>
      </c>
      <c r="F428" t="s">
        <v>2255</v>
      </c>
      <c r="G428" t="s">
        <v>2037</v>
      </c>
      <c r="H428" t="s">
        <v>2038</v>
      </c>
      <c r="I428" t="s">
        <v>350</v>
      </c>
    </row>
    <row r="429" spans="1:9" x14ac:dyDescent="0.25">
      <c r="A429" s="3" t="s">
        <v>863</v>
      </c>
      <c r="B429" t="s">
        <v>731</v>
      </c>
      <c r="C429" t="s">
        <v>3368</v>
      </c>
      <c r="D429" t="s">
        <v>3369</v>
      </c>
      <c r="E429">
        <v>1</v>
      </c>
      <c r="F429" t="s">
        <v>2260</v>
      </c>
      <c r="G429" t="s">
        <v>2037</v>
      </c>
      <c r="H429" t="s">
        <v>2038</v>
      </c>
      <c r="I429" t="s">
        <v>351</v>
      </c>
    </row>
    <row r="430" spans="1:9" x14ac:dyDescent="0.25">
      <c r="A430" s="2" t="s">
        <v>3364</v>
      </c>
      <c r="B430" s="2"/>
      <c r="C430" s="2"/>
      <c r="D430" s="2"/>
      <c r="E430" s="2"/>
      <c r="F430" s="2"/>
      <c r="G430" s="2"/>
      <c r="H430" s="2"/>
      <c r="I430" t="s">
        <v>1584</v>
      </c>
    </row>
    <row r="431" spans="1:9" x14ac:dyDescent="0.25">
      <c r="A431" s="3" t="s">
        <v>852</v>
      </c>
      <c r="B431" t="s">
        <v>731</v>
      </c>
      <c r="C431" t="s">
        <v>3368</v>
      </c>
      <c r="D431" t="s">
        <v>3369</v>
      </c>
      <c r="E431">
        <v>1</v>
      </c>
      <c r="F431" t="s">
        <v>2249</v>
      </c>
      <c r="G431" t="s">
        <v>2037</v>
      </c>
      <c r="H431" t="s">
        <v>2038</v>
      </c>
      <c r="I431" t="s">
        <v>369</v>
      </c>
    </row>
    <row r="432" spans="1:9" x14ac:dyDescent="0.25">
      <c r="A432" s="3" t="s">
        <v>853</v>
      </c>
      <c r="B432" t="s">
        <v>731</v>
      </c>
      <c r="C432" t="s">
        <v>3368</v>
      </c>
      <c r="D432" t="s">
        <v>3369</v>
      </c>
      <c r="E432">
        <v>1</v>
      </c>
      <c r="F432" t="s">
        <v>2250</v>
      </c>
      <c r="G432" t="s">
        <v>2037</v>
      </c>
      <c r="H432" t="s">
        <v>2038</v>
      </c>
      <c r="I432" t="s">
        <v>370</v>
      </c>
    </row>
    <row r="433" spans="1:9" x14ac:dyDescent="0.25">
      <c r="A433" s="3" t="s">
        <v>857</v>
      </c>
      <c r="B433" t="s">
        <v>731</v>
      </c>
      <c r="C433" t="s">
        <v>3368</v>
      </c>
      <c r="D433" t="s">
        <v>3369</v>
      </c>
      <c r="E433">
        <v>1</v>
      </c>
      <c r="F433" t="s">
        <v>2254</v>
      </c>
      <c r="G433" t="s">
        <v>2037</v>
      </c>
      <c r="H433" t="s">
        <v>2038</v>
      </c>
      <c r="I433" t="s">
        <v>371</v>
      </c>
    </row>
    <row r="434" spans="1:9" x14ac:dyDescent="0.25">
      <c r="A434" s="3" t="s">
        <v>859</v>
      </c>
      <c r="B434" t="s">
        <v>731</v>
      </c>
      <c r="C434" t="s">
        <v>3368</v>
      </c>
      <c r="D434" t="s">
        <v>3369</v>
      </c>
      <c r="E434">
        <v>1</v>
      </c>
      <c r="F434" t="s">
        <v>2256</v>
      </c>
      <c r="G434" t="s">
        <v>2037</v>
      </c>
      <c r="H434" t="s">
        <v>2038</v>
      </c>
      <c r="I434" t="s">
        <v>372</v>
      </c>
    </row>
    <row r="435" spans="1:9" x14ac:dyDescent="0.25">
      <c r="A435" s="3" t="s">
        <v>864</v>
      </c>
      <c r="B435" t="s">
        <v>731</v>
      </c>
      <c r="C435" t="s">
        <v>3368</v>
      </c>
      <c r="D435" t="s">
        <v>3369</v>
      </c>
      <c r="E435">
        <v>1</v>
      </c>
      <c r="F435" t="s">
        <v>2261</v>
      </c>
      <c r="G435" t="s">
        <v>2037</v>
      </c>
      <c r="H435" t="s">
        <v>2038</v>
      </c>
      <c r="I435" t="s">
        <v>373</v>
      </c>
    </row>
    <row r="436" spans="1:9" x14ac:dyDescent="0.25">
      <c r="A436" s="3" t="s">
        <v>792</v>
      </c>
      <c r="B436" t="s">
        <v>731</v>
      </c>
      <c r="C436" t="s">
        <v>3368</v>
      </c>
      <c r="D436" t="s">
        <v>3369</v>
      </c>
      <c r="E436">
        <v>1</v>
      </c>
      <c r="F436" t="s">
        <v>2142</v>
      </c>
      <c r="G436" t="s">
        <v>2037</v>
      </c>
      <c r="H436" t="s">
        <v>2038</v>
      </c>
      <c r="I436" t="s">
        <v>374</v>
      </c>
    </row>
    <row r="437" spans="1:9" x14ac:dyDescent="0.25">
      <c r="A437" s="3" t="s">
        <v>763</v>
      </c>
      <c r="B437" t="s">
        <v>731</v>
      </c>
      <c r="C437" t="s">
        <v>3368</v>
      </c>
      <c r="D437" t="s">
        <v>3369</v>
      </c>
      <c r="E437">
        <v>2</v>
      </c>
      <c r="F437" t="s">
        <v>2113</v>
      </c>
      <c r="G437" t="s">
        <v>2037</v>
      </c>
      <c r="H437" t="s">
        <v>2038</v>
      </c>
      <c r="I437" t="s">
        <v>19</v>
      </c>
    </row>
    <row r="438" spans="1:9" x14ac:dyDescent="0.25">
      <c r="A438" s="3" t="s">
        <v>764</v>
      </c>
      <c r="B438" t="s">
        <v>731</v>
      </c>
      <c r="C438" t="s">
        <v>3368</v>
      </c>
      <c r="D438" t="s">
        <v>3369</v>
      </c>
      <c r="E438">
        <v>2</v>
      </c>
      <c r="F438" t="s">
        <v>2114</v>
      </c>
      <c r="G438" t="s">
        <v>2037</v>
      </c>
      <c r="H438" t="s">
        <v>2038</v>
      </c>
      <c r="I438" t="s">
        <v>20</v>
      </c>
    </row>
    <row r="439" spans="1:9" x14ac:dyDescent="0.25">
      <c r="A439" s="3" t="s">
        <v>767</v>
      </c>
      <c r="B439" t="s">
        <v>731</v>
      </c>
      <c r="C439" t="s">
        <v>3368</v>
      </c>
      <c r="D439" t="s">
        <v>3369</v>
      </c>
      <c r="E439">
        <v>2</v>
      </c>
      <c r="F439" t="s">
        <v>2117</v>
      </c>
      <c r="G439" t="s">
        <v>2037</v>
      </c>
      <c r="H439" t="s">
        <v>2038</v>
      </c>
      <c r="I439" t="s">
        <v>21</v>
      </c>
    </row>
    <row r="440" spans="1:9" x14ac:dyDescent="0.25">
      <c r="A440" s="3" t="s">
        <v>768</v>
      </c>
      <c r="B440" t="s">
        <v>731</v>
      </c>
      <c r="C440" t="s">
        <v>3368</v>
      </c>
      <c r="D440" t="s">
        <v>3369</v>
      </c>
      <c r="E440">
        <v>2</v>
      </c>
      <c r="F440" t="s">
        <v>2118</v>
      </c>
      <c r="G440" t="s">
        <v>2037</v>
      </c>
      <c r="H440" t="s">
        <v>2038</v>
      </c>
      <c r="I440" t="s">
        <v>22</v>
      </c>
    </row>
    <row r="441" spans="1:9" x14ac:dyDescent="0.25">
      <c r="A441" s="3" t="s">
        <v>801</v>
      </c>
      <c r="B441" t="s">
        <v>731</v>
      </c>
      <c r="C441" t="s">
        <v>3368</v>
      </c>
      <c r="D441" t="s">
        <v>3369</v>
      </c>
      <c r="E441">
        <v>2</v>
      </c>
      <c r="F441" t="s">
        <v>2159</v>
      </c>
      <c r="G441" t="s">
        <v>2037</v>
      </c>
      <c r="H441" t="s">
        <v>2038</v>
      </c>
      <c r="I441" t="s">
        <v>23</v>
      </c>
    </row>
    <row r="442" spans="1:9" x14ac:dyDescent="0.25">
      <c r="A442" s="3" t="s">
        <v>802</v>
      </c>
      <c r="B442" t="s">
        <v>731</v>
      </c>
      <c r="C442" t="s">
        <v>3368</v>
      </c>
      <c r="D442" t="s">
        <v>3369</v>
      </c>
      <c r="E442">
        <v>2</v>
      </c>
      <c r="F442" t="s">
        <v>2160</v>
      </c>
      <c r="G442" t="s">
        <v>2037</v>
      </c>
      <c r="H442" t="s">
        <v>2038</v>
      </c>
      <c r="I442" t="s">
        <v>24</v>
      </c>
    </row>
    <row r="443" spans="1:9" x14ac:dyDescent="0.25">
      <c r="A443" s="3" t="s">
        <v>765</v>
      </c>
      <c r="B443" t="s">
        <v>731</v>
      </c>
      <c r="C443" t="s">
        <v>3368</v>
      </c>
      <c r="D443" t="s">
        <v>3369</v>
      </c>
      <c r="E443">
        <v>2</v>
      </c>
      <c r="F443" t="s">
        <v>2115</v>
      </c>
      <c r="G443" t="s">
        <v>2037</v>
      </c>
      <c r="H443" t="s">
        <v>2038</v>
      </c>
      <c r="I443" t="s">
        <v>49</v>
      </c>
    </row>
    <row r="444" spans="1:9" x14ac:dyDescent="0.25">
      <c r="A444" s="3" t="s">
        <v>771</v>
      </c>
      <c r="B444" t="s">
        <v>731</v>
      </c>
      <c r="C444" t="s">
        <v>3368</v>
      </c>
      <c r="D444" t="s">
        <v>3369</v>
      </c>
      <c r="E444">
        <v>2</v>
      </c>
      <c r="F444" t="s">
        <v>2121</v>
      </c>
      <c r="G444" t="s">
        <v>2037</v>
      </c>
      <c r="H444" t="s">
        <v>2038</v>
      </c>
      <c r="I444" t="s">
        <v>50</v>
      </c>
    </row>
    <row r="445" spans="1:9" x14ac:dyDescent="0.25">
      <c r="A445" s="3" t="s">
        <v>772</v>
      </c>
      <c r="B445" t="s">
        <v>731</v>
      </c>
      <c r="C445" t="s">
        <v>3368</v>
      </c>
      <c r="D445" t="s">
        <v>3369</v>
      </c>
      <c r="E445">
        <v>2</v>
      </c>
      <c r="F445" t="s">
        <v>2122</v>
      </c>
      <c r="G445" t="s">
        <v>2037</v>
      </c>
      <c r="H445" t="s">
        <v>2038</v>
      </c>
      <c r="I445" t="s">
        <v>51</v>
      </c>
    </row>
    <row r="446" spans="1:9" x14ac:dyDescent="0.25">
      <c r="A446" s="3" t="s">
        <v>776</v>
      </c>
      <c r="B446" t="s">
        <v>731</v>
      </c>
      <c r="C446" t="s">
        <v>3368</v>
      </c>
      <c r="D446" t="s">
        <v>3369</v>
      </c>
      <c r="E446">
        <v>2</v>
      </c>
      <c r="F446" t="s">
        <v>2126</v>
      </c>
      <c r="G446" t="s">
        <v>2037</v>
      </c>
      <c r="H446" t="s">
        <v>2038</v>
      </c>
      <c r="I446" t="s">
        <v>52</v>
      </c>
    </row>
    <row r="447" spans="1:9" x14ac:dyDescent="0.25">
      <c r="A447" s="3" t="s">
        <v>803</v>
      </c>
      <c r="B447" t="s">
        <v>731</v>
      </c>
      <c r="C447" t="s">
        <v>3368</v>
      </c>
      <c r="D447" t="s">
        <v>3369</v>
      </c>
      <c r="E447">
        <v>2</v>
      </c>
      <c r="F447" t="s">
        <v>2161</v>
      </c>
      <c r="G447" t="s">
        <v>2037</v>
      </c>
      <c r="H447" t="s">
        <v>2038</v>
      </c>
      <c r="I447" t="s">
        <v>53</v>
      </c>
    </row>
    <row r="448" spans="1:9" x14ac:dyDescent="0.25">
      <c r="A448" s="3" t="s">
        <v>804</v>
      </c>
      <c r="B448" t="s">
        <v>731</v>
      </c>
      <c r="C448" t="s">
        <v>3368</v>
      </c>
      <c r="D448" t="s">
        <v>3369</v>
      </c>
      <c r="E448">
        <v>2</v>
      </c>
      <c r="F448" t="s">
        <v>2162</v>
      </c>
      <c r="G448" t="s">
        <v>2037</v>
      </c>
      <c r="H448" t="s">
        <v>2038</v>
      </c>
      <c r="I448" t="s">
        <v>54</v>
      </c>
    </row>
    <row r="449" spans="1:9" x14ac:dyDescent="0.25">
      <c r="A449" s="3" t="s">
        <v>766</v>
      </c>
      <c r="B449" t="s">
        <v>731</v>
      </c>
      <c r="C449" t="s">
        <v>3368</v>
      </c>
      <c r="D449" t="s">
        <v>3369</v>
      </c>
      <c r="E449">
        <v>2</v>
      </c>
      <c r="F449" t="s">
        <v>2116</v>
      </c>
      <c r="G449" t="s">
        <v>2037</v>
      </c>
      <c r="H449" t="s">
        <v>2038</v>
      </c>
      <c r="I449" t="s">
        <v>71</v>
      </c>
    </row>
    <row r="450" spans="1:9" x14ac:dyDescent="0.25">
      <c r="A450" s="3" t="s">
        <v>773</v>
      </c>
      <c r="B450" t="s">
        <v>731</v>
      </c>
      <c r="C450" t="s">
        <v>3368</v>
      </c>
      <c r="D450" t="s">
        <v>3369</v>
      </c>
      <c r="E450">
        <v>2</v>
      </c>
      <c r="F450" t="s">
        <v>2123</v>
      </c>
      <c r="G450" t="s">
        <v>2037</v>
      </c>
      <c r="H450" t="s">
        <v>2038</v>
      </c>
      <c r="I450" t="s">
        <v>72</v>
      </c>
    </row>
    <row r="451" spans="1:9" x14ac:dyDescent="0.25">
      <c r="A451" s="3" t="s">
        <v>778</v>
      </c>
      <c r="B451" t="s">
        <v>731</v>
      </c>
      <c r="C451" t="s">
        <v>3368</v>
      </c>
      <c r="D451" t="s">
        <v>3369</v>
      </c>
      <c r="E451">
        <v>2</v>
      </c>
      <c r="F451" t="s">
        <v>2128</v>
      </c>
      <c r="G451" t="s">
        <v>2037</v>
      </c>
      <c r="H451" t="s">
        <v>2038</v>
      </c>
      <c r="I451" t="s">
        <v>73</v>
      </c>
    </row>
    <row r="452" spans="1:9" x14ac:dyDescent="0.25">
      <c r="A452" s="3" t="s">
        <v>786</v>
      </c>
      <c r="B452" t="s">
        <v>731</v>
      </c>
      <c r="C452" t="s">
        <v>3368</v>
      </c>
      <c r="D452" t="s">
        <v>3369</v>
      </c>
      <c r="E452">
        <v>2</v>
      </c>
      <c r="F452" t="s">
        <v>2136</v>
      </c>
      <c r="G452" t="s">
        <v>2037</v>
      </c>
      <c r="H452" t="s">
        <v>2038</v>
      </c>
      <c r="I452" t="s">
        <v>74</v>
      </c>
    </row>
    <row r="453" spans="1:9" x14ac:dyDescent="0.25">
      <c r="A453" s="3" t="s">
        <v>805</v>
      </c>
      <c r="B453" t="s">
        <v>731</v>
      </c>
      <c r="C453" t="s">
        <v>3368</v>
      </c>
      <c r="D453" t="s">
        <v>3369</v>
      </c>
      <c r="E453">
        <v>2</v>
      </c>
      <c r="F453" t="s">
        <v>2163</v>
      </c>
      <c r="G453" t="s">
        <v>2037</v>
      </c>
      <c r="H453" t="s">
        <v>2038</v>
      </c>
      <c r="I453" t="s">
        <v>75</v>
      </c>
    </row>
    <row r="454" spans="1:9" x14ac:dyDescent="0.25">
      <c r="A454" s="3" t="s">
        <v>806</v>
      </c>
      <c r="B454" t="s">
        <v>731</v>
      </c>
      <c r="C454" t="s">
        <v>3368</v>
      </c>
      <c r="D454" t="s">
        <v>3369</v>
      </c>
      <c r="E454">
        <v>2</v>
      </c>
      <c r="F454" t="s">
        <v>2164</v>
      </c>
      <c r="G454" t="s">
        <v>2037</v>
      </c>
      <c r="H454" t="s">
        <v>2038</v>
      </c>
      <c r="I454" t="s">
        <v>76</v>
      </c>
    </row>
    <row r="455" spans="1:9" x14ac:dyDescent="0.25">
      <c r="A455" s="3" t="s">
        <v>769</v>
      </c>
      <c r="B455" t="s">
        <v>731</v>
      </c>
      <c r="C455" t="s">
        <v>3368</v>
      </c>
      <c r="D455" t="s">
        <v>3369</v>
      </c>
      <c r="E455">
        <v>2</v>
      </c>
      <c r="F455" t="s">
        <v>2119</v>
      </c>
      <c r="G455" t="s">
        <v>2037</v>
      </c>
      <c r="H455" t="s">
        <v>2038</v>
      </c>
      <c r="I455" t="s">
        <v>92</v>
      </c>
    </row>
    <row r="456" spans="1:9" x14ac:dyDescent="0.25">
      <c r="A456" s="3" t="s">
        <v>774</v>
      </c>
      <c r="B456" t="s">
        <v>731</v>
      </c>
      <c r="C456" t="s">
        <v>3368</v>
      </c>
      <c r="D456" t="s">
        <v>3369</v>
      </c>
      <c r="E456">
        <v>2</v>
      </c>
      <c r="F456" t="s">
        <v>2124</v>
      </c>
      <c r="G456" t="s">
        <v>2037</v>
      </c>
      <c r="H456" t="s">
        <v>2038</v>
      </c>
      <c r="I456" t="s">
        <v>93</v>
      </c>
    </row>
    <row r="457" spans="1:9" x14ac:dyDescent="0.25">
      <c r="A457" s="3" t="s">
        <v>777</v>
      </c>
      <c r="B457" t="s">
        <v>731</v>
      </c>
      <c r="C457" t="s">
        <v>3368</v>
      </c>
      <c r="D457" t="s">
        <v>3369</v>
      </c>
      <c r="E457">
        <v>2</v>
      </c>
      <c r="F457" t="s">
        <v>2127</v>
      </c>
      <c r="G457" t="s">
        <v>2037</v>
      </c>
      <c r="H457" t="s">
        <v>2038</v>
      </c>
      <c r="I457" t="s">
        <v>94</v>
      </c>
    </row>
    <row r="458" spans="1:9" x14ac:dyDescent="0.25">
      <c r="A458" s="3" t="s">
        <v>788</v>
      </c>
      <c r="B458" t="s">
        <v>731</v>
      </c>
      <c r="C458" t="s">
        <v>3368</v>
      </c>
      <c r="D458" t="s">
        <v>3369</v>
      </c>
      <c r="E458">
        <v>2</v>
      </c>
      <c r="F458" t="s">
        <v>2138</v>
      </c>
      <c r="G458" t="s">
        <v>2037</v>
      </c>
      <c r="H458" t="s">
        <v>2038</v>
      </c>
      <c r="I458" t="s">
        <v>95</v>
      </c>
    </row>
    <row r="459" spans="1:9" x14ac:dyDescent="0.25">
      <c r="A459" s="3" t="s">
        <v>807</v>
      </c>
      <c r="B459" t="s">
        <v>731</v>
      </c>
      <c r="C459" t="s">
        <v>3368</v>
      </c>
      <c r="D459" t="s">
        <v>3369</v>
      </c>
      <c r="E459">
        <v>2</v>
      </c>
      <c r="F459" t="s">
        <v>2165</v>
      </c>
      <c r="G459" t="s">
        <v>2037</v>
      </c>
      <c r="H459" t="s">
        <v>2038</v>
      </c>
      <c r="I459" t="s">
        <v>96</v>
      </c>
    </row>
    <row r="460" spans="1:9" x14ac:dyDescent="0.25">
      <c r="A460" s="3" t="s">
        <v>808</v>
      </c>
      <c r="B460" t="s">
        <v>731</v>
      </c>
      <c r="C460" t="s">
        <v>3368</v>
      </c>
      <c r="D460" t="s">
        <v>3369</v>
      </c>
      <c r="E460">
        <v>2</v>
      </c>
      <c r="F460" t="s">
        <v>2166</v>
      </c>
      <c r="G460" t="s">
        <v>2037</v>
      </c>
      <c r="H460" t="s">
        <v>2038</v>
      </c>
      <c r="I460" t="s">
        <v>97</v>
      </c>
    </row>
    <row r="461" spans="1:9" x14ac:dyDescent="0.25">
      <c r="A461" s="3" t="s">
        <v>770</v>
      </c>
      <c r="B461" t="s">
        <v>731</v>
      </c>
      <c r="C461" t="s">
        <v>3368</v>
      </c>
      <c r="D461" t="s">
        <v>3369</v>
      </c>
      <c r="E461">
        <v>2</v>
      </c>
      <c r="F461" t="s">
        <v>2120</v>
      </c>
      <c r="G461" t="s">
        <v>2037</v>
      </c>
      <c r="H461" t="s">
        <v>2038</v>
      </c>
      <c r="I461" t="s">
        <v>113</v>
      </c>
    </row>
    <row r="462" spans="1:9" x14ac:dyDescent="0.25">
      <c r="A462" s="3" t="s">
        <v>775</v>
      </c>
      <c r="B462" t="s">
        <v>731</v>
      </c>
      <c r="C462" t="s">
        <v>3368</v>
      </c>
      <c r="D462" t="s">
        <v>3369</v>
      </c>
      <c r="E462">
        <v>2</v>
      </c>
      <c r="F462" t="s">
        <v>2125</v>
      </c>
      <c r="G462" t="s">
        <v>2037</v>
      </c>
      <c r="H462" t="s">
        <v>2038</v>
      </c>
      <c r="I462" t="s">
        <v>114</v>
      </c>
    </row>
    <row r="463" spans="1:9" x14ac:dyDescent="0.25">
      <c r="A463" s="3" t="s">
        <v>785</v>
      </c>
      <c r="B463" t="s">
        <v>731</v>
      </c>
      <c r="C463" t="s">
        <v>3368</v>
      </c>
      <c r="D463" t="s">
        <v>3369</v>
      </c>
      <c r="E463">
        <v>2</v>
      </c>
      <c r="F463" t="s">
        <v>2135</v>
      </c>
      <c r="G463" t="s">
        <v>2037</v>
      </c>
      <c r="H463" t="s">
        <v>2038</v>
      </c>
      <c r="I463" t="s">
        <v>115</v>
      </c>
    </row>
    <row r="464" spans="1:9" x14ac:dyDescent="0.25">
      <c r="A464" s="3" t="s">
        <v>787</v>
      </c>
      <c r="B464" t="s">
        <v>731</v>
      </c>
      <c r="C464" t="s">
        <v>3368</v>
      </c>
      <c r="D464" t="s">
        <v>3369</v>
      </c>
      <c r="E464">
        <v>2</v>
      </c>
      <c r="F464" t="s">
        <v>2137</v>
      </c>
      <c r="G464" t="s">
        <v>2037</v>
      </c>
      <c r="H464" t="s">
        <v>2038</v>
      </c>
      <c r="I464" t="s">
        <v>116</v>
      </c>
    </row>
    <row r="465" spans="1:9" x14ac:dyDescent="0.25">
      <c r="A465" s="2" t="s">
        <v>3362</v>
      </c>
      <c r="B465" s="2"/>
      <c r="C465" s="2"/>
      <c r="D465" s="2"/>
      <c r="E465" s="2"/>
      <c r="F465" s="2"/>
      <c r="G465" s="2"/>
      <c r="H465" s="2"/>
      <c r="I465" t="s">
        <v>3360</v>
      </c>
    </row>
    <row r="466" spans="1:9" x14ac:dyDescent="0.25">
      <c r="A466" s="2" t="s">
        <v>3363</v>
      </c>
      <c r="B466" s="2"/>
      <c r="C466" s="2"/>
      <c r="D466" s="2"/>
      <c r="E466" s="2"/>
      <c r="F466" s="2"/>
      <c r="G466" s="2"/>
      <c r="H466" s="2"/>
      <c r="I466" t="s">
        <v>3361</v>
      </c>
    </row>
  </sheetData>
  <conditionalFormatting sqref="A2:A220">
    <cfRule type="duplicateValues" dxfId="7" priority="9"/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AD6F-BD8D-4D5B-AFD8-7EC3F331CFFA}">
  <dimension ref="A1:L40"/>
  <sheetViews>
    <sheetView workbookViewId="0">
      <selection activeCell="D28" sqref="D28"/>
    </sheetView>
  </sheetViews>
  <sheetFormatPr defaultRowHeight="15" x14ac:dyDescent="0.25"/>
  <cols>
    <col min="1" max="1" width="25.140625" bestFit="1" customWidth="1"/>
    <col min="2" max="2" width="24.28515625" bestFit="1" customWidth="1"/>
    <col min="3" max="3" width="26.85546875" bestFit="1" customWidth="1"/>
    <col min="4" max="4" width="17.140625" bestFit="1" customWidth="1"/>
    <col min="5" max="5" width="25" bestFit="1" customWidth="1"/>
    <col min="6" max="6" width="13.85546875" bestFit="1" customWidth="1"/>
    <col min="7" max="7" width="12.7109375" bestFit="1" customWidth="1"/>
    <col min="8" max="8" width="11.7109375" bestFit="1" customWidth="1"/>
    <col min="9" max="9" width="8.7109375" bestFit="1" customWidth="1"/>
    <col min="10" max="10" width="7.7109375" bestFit="1" customWidth="1"/>
    <col min="11" max="11" width="16.140625" bestFit="1" customWidth="1"/>
    <col min="12" max="12" width="20.28515625" bestFit="1" customWidth="1"/>
  </cols>
  <sheetData>
    <row r="1" spans="1:12" x14ac:dyDescent="0.25">
      <c r="A1" t="s">
        <v>0</v>
      </c>
      <c r="B1" t="s">
        <v>1</v>
      </c>
      <c r="C1" t="s">
        <v>630</v>
      </c>
      <c r="D1" t="s">
        <v>631</v>
      </c>
      <c r="E1" t="s">
        <v>632</v>
      </c>
      <c r="F1" t="s">
        <v>2035</v>
      </c>
      <c r="G1" t="s">
        <v>2036</v>
      </c>
      <c r="H1" t="s">
        <v>692</v>
      </c>
      <c r="I1" t="s">
        <v>3294</v>
      </c>
      <c r="J1" t="s">
        <v>3295</v>
      </c>
      <c r="K1" t="s">
        <v>3296</v>
      </c>
      <c r="L1" t="s">
        <v>3292</v>
      </c>
    </row>
    <row r="2" spans="1:12" x14ac:dyDescent="0.25">
      <c r="A2" t="s">
        <v>273</v>
      </c>
      <c r="B2" t="s">
        <v>3</v>
      </c>
      <c r="C2" t="s">
        <v>633</v>
      </c>
      <c r="D2" t="s">
        <v>1405</v>
      </c>
      <c r="E2" t="s">
        <v>3</v>
      </c>
      <c r="F2" t="s">
        <v>2686</v>
      </c>
      <c r="G2" t="s">
        <v>2037</v>
      </c>
      <c r="H2" t="s">
        <v>2038</v>
      </c>
      <c r="I2" t="s">
        <v>3293</v>
      </c>
      <c r="J2" t="s">
        <v>3298</v>
      </c>
      <c r="K2" t="s">
        <v>3</v>
      </c>
      <c r="L2" t="str">
        <f>_xlfn.TEXTJOIN("_",TRUE,Table2[[#This Row],[GEAR]:[DESIGNATINO]])</f>
        <v>SW6A_BKR_UCB</v>
      </c>
    </row>
    <row r="3" spans="1:12" hidden="1" x14ac:dyDescent="0.25">
      <c r="A3" t="s">
        <v>273</v>
      </c>
      <c r="B3" t="s">
        <v>27</v>
      </c>
      <c r="C3" t="s">
        <v>688</v>
      </c>
      <c r="D3" t="s">
        <v>1406</v>
      </c>
      <c r="E3" t="s">
        <v>1406</v>
      </c>
      <c r="F3" t="s">
        <v>2687</v>
      </c>
      <c r="G3" t="s">
        <v>2037</v>
      </c>
      <c r="H3" t="s">
        <v>2038</v>
      </c>
      <c r="I3" t="s">
        <v>1406</v>
      </c>
      <c r="L3" t="str">
        <f>_xlfn.TEXTJOIN("_",TRUE,Table2[[#This Row],[GEAR]:[DESIGNATINO]])</f>
        <v>XFMR-6A</v>
      </c>
    </row>
    <row r="4" spans="1:12" x14ac:dyDescent="0.25">
      <c r="A4" t="s">
        <v>274</v>
      </c>
      <c r="B4" t="s">
        <v>5</v>
      </c>
      <c r="C4" t="s">
        <v>1407</v>
      </c>
      <c r="D4" t="s">
        <v>1408</v>
      </c>
      <c r="E4" t="s">
        <v>638</v>
      </c>
      <c r="F4" t="s">
        <v>2688</v>
      </c>
      <c r="G4" t="s">
        <v>2037</v>
      </c>
      <c r="H4" t="s">
        <v>2038</v>
      </c>
      <c r="I4" t="s">
        <v>3293</v>
      </c>
      <c r="J4" t="s">
        <v>3298</v>
      </c>
      <c r="K4" t="s">
        <v>1647</v>
      </c>
      <c r="L4" t="str">
        <f>_xlfn.TEXTJOIN("_",TRUE,Table2[[#This Row],[GEAR]:[DESIGNATINO]])</f>
        <v>SW6A_BKR_MCB-01</v>
      </c>
    </row>
    <row r="5" spans="1:12" x14ac:dyDescent="0.25">
      <c r="A5" t="s">
        <v>274</v>
      </c>
      <c r="B5" t="s">
        <v>125</v>
      </c>
      <c r="C5" t="s">
        <v>1409</v>
      </c>
      <c r="D5" t="s">
        <v>1410</v>
      </c>
      <c r="E5" t="s">
        <v>1100</v>
      </c>
      <c r="F5" t="s">
        <v>2689</v>
      </c>
      <c r="G5" t="s">
        <v>2037</v>
      </c>
      <c r="H5" t="s">
        <v>2038</v>
      </c>
      <c r="I5" t="s">
        <v>3293</v>
      </c>
      <c r="J5" t="s">
        <v>3298</v>
      </c>
      <c r="K5" t="s">
        <v>3305</v>
      </c>
      <c r="L5" t="str">
        <f>_xlfn.TEXTJOIN("_",TRUE,Table2[[#This Row],[GEAR]:[DESIGNATINO]])</f>
        <v>SW6A_BKR_MCB-02</v>
      </c>
    </row>
    <row r="6" spans="1:12" x14ac:dyDescent="0.25">
      <c r="A6" t="s">
        <v>275</v>
      </c>
      <c r="B6" t="s">
        <v>276</v>
      </c>
      <c r="C6" t="s">
        <v>1411</v>
      </c>
      <c r="D6" t="s">
        <v>1412</v>
      </c>
      <c r="E6" t="s">
        <v>276</v>
      </c>
      <c r="F6" t="s">
        <v>2690</v>
      </c>
      <c r="G6" t="s">
        <v>2037</v>
      </c>
      <c r="H6" t="s">
        <v>2038</v>
      </c>
      <c r="I6" t="s">
        <v>3293</v>
      </c>
      <c r="J6" t="s">
        <v>3298</v>
      </c>
      <c r="K6" t="s">
        <v>276</v>
      </c>
      <c r="L6" t="str">
        <f>_xlfn.TEXTJOIN("_",TRUE,Table2[[#This Row],[GEAR]:[DESIGNATINO]])</f>
        <v>SW6A_BKR_DP-6A-1</v>
      </c>
    </row>
    <row r="7" spans="1:12" x14ac:dyDescent="0.25">
      <c r="A7" t="s">
        <v>275</v>
      </c>
      <c r="B7" t="s">
        <v>277</v>
      </c>
      <c r="C7" t="s">
        <v>1413</v>
      </c>
      <c r="D7" t="s">
        <v>1414</v>
      </c>
      <c r="E7" t="s">
        <v>277</v>
      </c>
      <c r="F7" t="s">
        <v>2691</v>
      </c>
      <c r="G7" t="s">
        <v>2037</v>
      </c>
      <c r="H7" t="s">
        <v>2038</v>
      </c>
      <c r="I7" t="s">
        <v>3293</v>
      </c>
      <c r="J7" t="s">
        <v>3298</v>
      </c>
      <c r="K7" t="s">
        <v>277</v>
      </c>
      <c r="L7" t="str">
        <f>_xlfn.TEXTJOIN("_",TRUE,Table2[[#This Row],[GEAR]:[DESIGNATINO]])</f>
        <v>SW6A_BKR_DP-6A-2</v>
      </c>
    </row>
    <row r="8" spans="1:12" x14ac:dyDescent="0.25">
      <c r="A8" t="s">
        <v>274</v>
      </c>
      <c r="B8" t="s">
        <v>8</v>
      </c>
      <c r="C8" t="s">
        <v>643</v>
      </c>
      <c r="D8" t="s">
        <v>1415</v>
      </c>
      <c r="E8" t="s">
        <v>8</v>
      </c>
      <c r="F8" t="s">
        <v>2692</v>
      </c>
      <c r="G8" t="s">
        <v>2037</v>
      </c>
      <c r="H8" t="s">
        <v>2038</v>
      </c>
      <c r="I8" t="s">
        <v>3293</v>
      </c>
      <c r="J8" t="s">
        <v>3298</v>
      </c>
      <c r="K8" t="s">
        <v>8</v>
      </c>
      <c r="L8" t="str">
        <f>_xlfn.TEXTJOIN("_",TRUE,Table2[[#This Row],[GEAR]:[DESIGNATINO]])</f>
        <v>SW6A_BKR_SPARE</v>
      </c>
    </row>
    <row r="9" spans="1:12" x14ac:dyDescent="0.25">
      <c r="A9" t="s">
        <v>274</v>
      </c>
      <c r="B9" t="s">
        <v>278</v>
      </c>
      <c r="C9" t="s">
        <v>648</v>
      </c>
      <c r="D9" t="s">
        <v>1416</v>
      </c>
      <c r="E9" t="s">
        <v>278</v>
      </c>
      <c r="F9" t="s">
        <v>2694</v>
      </c>
      <c r="G9" t="s">
        <v>2037</v>
      </c>
      <c r="H9" t="s">
        <v>2038</v>
      </c>
      <c r="I9" t="s">
        <v>3293</v>
      </c>
      <c r="J9" t="s">
        <v>3298</v>
      </c>
      <c r="K9" t="s">
        <v>278</v>
      </c>
      <c r="L9" t="str">
        <f>_xlfn.TEXTJOIN("_",TRUE,Table2[[#This Row],[GEAR]:[DESIGNATINO]])</f>
        <v>SW6A_BKR_CH-6A</v>
      </c>
    </row>
    <row r="10" spans="1:12" x14ac:dyDescent="0.25">
      <c r="A10" t="s">
        <v>274</v>
      </c>
      <c r="B10" t="s">
        <v>11</v>
      </c>
      <c r="C10" t="s">
        <v>650</v>
      </c>
      <c r="D10" t="s">
        <v>1417</v>
      </c>
      <c r="E10" t="s">
        <v>11</v>
      </c>
      <c r="F10" t="s">
        <v>2695</v>
      </c>
      <c r="G10" t="s">
        <v>2037</v>
      </c>
      <c r="H10" t="s">
        <v>2038</v>
      </c>
      <c r="I10" t="s">
        <v>3293</v>
      </c>
      <c r="J10" t="s">
        <v>3298</v>
      </c>
      <c r="K10" t="s">
        <v>11</v>
      </c>
      <c r="L10" t="str">
        <f>_xlfn.TEXTJOIN("_",TRUE,Table2[[#This Row],[GEAR]:[DESIGNATINO]])</f>
        <v>SW6A_BKR_MUPS-RIB</v>
      </c>
    </row>
    <row r="11" spans="1:12" x14ac:dyDescent="0.25">
      <c r="A11" t="s">
        <v>275</v>
      </c>
      <c r="B11" t="s">
        <v>12</v>
      </c>
      <c r="C11" t="s">
        <v>653</v>
      </c>
      <c r="D11" t="s">
        <v>1418</v>
      </c>
      <c r="E11" t="s">
        <v>12</v>
      </c>
      <c r="F11" t="s">
        <v>2696</v>
      </c>
      <c r="G11" t="s">
        <v>2037</v>
      </c>
      <c r="H11" t="s">
        <v>2038</v>
      </c>
      <c r="I11" t="s">
        <v>3293</v>
      </c>
      <c r="J11" t="s">
        <v>3298</v>
      </c>
      <c r="K11" t="s">
        <v>12</v>
      </c>
      <c r="L11" t="str">
        <f>_xlfn.TEXTJOIN("_",TRUE,Table2[[#This Row],[GEAR]:[DESIGNATINO]])</f>
        <v>SW6A_BKR_MUPS-BIB</v>
      </c>
    </row>
    <row r="12" spans="1:12" x14ac:dyDescent="0.25">
      <c r="A12" t="s">
        <v>274</v>
      </c>
      <c r="B12" t="s">
        <v>279</v>
      </c>
      <c r="C12" t="s">
        <v>1419</v>
      </c>
      <c r="D12" t="s">
        <v>1420</v>
      </c>
      <c r="E12" t="s">
        <v>279</v>
      </c>
      <c r="F12" t="s">
        <v>2697</v>
      </c>
      <c r="G12" t="s">
        <v>2037</v>
      </c>
      <c r="H12" t="s">
        <v>2038</v>
      </c>
      <c r="I12" t="s">
        <v>3293</v>
      </c>
      <c r="J12" t="s">
        <v>3298</v>
      </c>
      <c r="K12" t="s">
        <v>279</v>
      </c>
      <c r="L12" t="str">
        <f>_xlfn.TEXTJOIN("_",TRUE,Table2[[#This Row],[GEAR]:[DESIGNATINO]])</f>
        <v>SW6A_BKR_UPS-6A-1</v>
      </c>
    </row>
    <row r="13" spans="1:12" hidden="1" x14ac:dyDescent="0.25">
      <c r="A13" t="s">
        <v>274</v>
      </c>
      <c r="B13" t="s">
        <v>14</v>
      </c>
      <c r="C13" t="s">
        <v>1112</v>
      </c>
      <c r="D13" t="s">
        <v>1422</v>
      </c>
      <c r="E13" t="s">
        <v>1423</v>
      </c>
      <c r="F13" t="s">
        <v>2698</v>
      </c>
      <c r="G13" t="s">
        <v>2037</v>
      </c>
      <c r="H13" t="s">
        <v>2038</v>
      </c>
      <c r="I13" t="s">
        <v>3293</v>
      </c>
      <c r="J13" t="s">
        <v>3299</v>
      </c>
      <c r="L13" t="str">
        <f>_xlfn.TEXTJOIN("_",TRUE,Table2[[#This Row],[GEAR]:[DESIGNATINO]])</f>
        <v>SW6A_PQM</v>
      </c>
    </row>
    <row r="14" spans="1:12" x14ac:dyDescent="0.25">
      <c r="A14" t="s">
        <v>275</v>
      </c>
      <c r="B14" t="s">
        <v>16</v>
      </c>
      <c r="C14" t="s">
        <v>664</v>
      </c>
      <c r="D14" t="s">
        <v>1430</v>
      </c>
      <c r="E14" t="s">
        <v>16</v>
      </c>
      <c r="F14" t="s">
        <v>2699</v>
      </c>
      <c r="G14" t="s">
        <v>2037</v>
      </c>
      <c r="H14" t="s">
        <v>2038</v>
      </c>
      <c r="I14" t="s">
        <v>3297</v>
      </c>
      <c r="J14" t="s">
        <v>3298</v>
      </c>
      <c r="K14" t="s">
        <v>16</v>
      </c>
      <c r="L14" t="str">
        <f>_xlfn.TEXTJOIN("_",TRUE,Table2[[#This Row],[GEAR]:[DESIGNATINO]])</f>
        <v>UP6A_BKR_MBB</v>
      </c>
    </row>
    <row r="15" spans="1:12" x14ac:dyDescent="0.25">
      <c r="A15" t="s">
        <v>275</v>
      </c>
      <c r="B15" t="s">
        <v>17</v>
      </c>
      <c r="C15" t="s">
        <v>666</v>
      </c>
      <c r="D15" t="s">
        <v>1431</v>
      </c>
      <c r="E15" t="s">
        <v>17</v>
      </c>
      <c r="F15" t="s">
        <v>2700</v>
      </c>
      <c r="G15" t="s">
        <v>2037</v>
      </c>
      <c r="H15" t="s">
        <v>2038</v>
      </c>
      <c r="I15" t="s">
        <v>3297</v>
      </c>
      <c r="J15" t="s">
        <v>3298</v>
      </c>
      <c r="K15" t="s">
        <v>17</v>
      </c>
      <c r="L15" t="str">
        <f>_xlfn.TEXTJOIN("_",TRUE,Table2[[#This Row],[GEAR]:[DESIGNATINO]])</f>
        <v>UP6A_BKR_MIB</v>
      </c>
    </row>
    <row r="16" spans="1:12" x14ac:dyDescent="0.25">
      <c r="A16" t="s">
        <v>275</v>
      </c>
      <c r="B16" t="s">
        <v>280</v>
      </c>
      <c r="C16" t="s">
        <v>668</v>
      </c>
      <c r="D16" t="s">
        <v>1432</v>
      </c>
      <c r="E16" t="s">
        <v>670</v>
      </c>
      <c r="F16" t="s">
        <v>2701</v>
      </c>
      <c r="G16" t="s">
        <v>2037</v>
      </c>
      <c r="H16" t="s">
        <v>2038</v>
      </c>
      <c r="I16" t="s">
        <v>3297</v>
      </c>
      <c r="J16" t="s">
        <v>3298</v>
      </c>
      <c r="K16" t="s">
        <v>670</v>
      </c>
      <c r="L16" t="str">
        <f>_xlfn.TEXTJOIN("_",TRUE,Table2[[#This Row],[GEAR]:[DESIGNATINO]])</f>
        <v>UP6A_BKR_UP</v>
      </c>
    </row>
    <row r="17" spans="1:12" x14ac:dyDescent="0.25">
      <c r="A17" t="s">
        <v>275</v>
      </c>
      <c r="B17" t="s">
        <v>8</v>
      </c>
      <c r="C17" t="s">
        <v>1433</v>
      </c>
      <c r="D17" t="s">
        <v>1434</v>
      </c>
      <c r="E17" t="s">
        <v>8</v>
      </c>
      <c r="F17" t="s">
        <v>2702</v>
      </c>
      <c r="G17" t="s">
        <v>2037</v>
      </c>
      <c r="H17" t="s">
        <v>2038</v>
      </c>
      <c r="I17" t="s">
        <v>3297</v>
      </c>
      <c r="J17" t="s">
        <v>3298</v>
      </c>
      <c r="K17" t="s">
        <v>3301</v>
      </c>
      <c r="L17" t="str">
        <f>_xlfn.TEXTJOIN("_",TRUE,Table2[[#This Row],[GEAR]:[DESIGNATINO]])</f>
        <v>UP6A_BKR_SPARE-01</v>
      </c>
    </row>
    <row r="18" spans="1:12" x14ac:dyDescent="0.25">
      <c r="A18" t="s">
        <v>275</v>
      </c>
      <c r="B18" t="s">
        <v>281</v>
      </c>
      <c r="C18" t="s">
        <v>1435</v>
      </c>
      <c r="D18" t="s">
        <v>1436</v>
      </c>
      <c r="E18" t="s">
        <v>281</v>
      </c>
      <c r="F18" t="s">
        <v>2703</v>
      </c>
      <c r="G18" t="s">
        <v>2037</v>
      </c>
      <c r="H18" t="s">
        <v>2038</v>
      </c>
      <c r="I18" t="s">
        <v>3297</v>
      </c>
      <c r="J18" t="s">
        <v>3298</v>
      </c>
      <c r="K18" t="s">
        <v>281</v>
      </c>
      <c r="L18" t="str">
        <f>_xlfn.TEXTJOIN("_",TRUE,Table2[[#This Row],[GEAR]:[DESIGNATINO]])</f>
        <v>UP6A_BKR_BUS-6A-1</v>
      </c>
    </row>
    <row r="19" spans="1:12" x14ac:dyDescent="0.25">
      <c r="A19" t="s">
        <v>275</v>
      </c>
      <c r="B19" t="s">
        <v>282</v>
      </c>
      <c r="C19" t="s">
        <v>1437</v>
      </c>
      <c r="D19" t="s">
        <v>1438</v>
      </c>
      <c r="E19" t="s">
        <v>282</v>
      </c>
      <c r="F19" t="s">
        <v>2704</v>
      </c>
      <c r="G19" t="s">
        <v>2037</v>
      </c>
      <c r="H19" t="s">
        <v>2038</v>
      </c>
      <c r="I19" t="s">
        <v>3297</v>
      </c>
      <c r="J19" t="s">
        <v>3298</v>
      </c>
      <c r="K19" t="s">
        <v>282</v>
      </c>
      <c r="L19" t="str">
        <f>_xlfn.TEXTJOIN("_",TRUE,Table2[[#This Row],[GEAR]:[DESIGNATINO]])</f>
        <v>UP6A_BKR_BUS-6A-2</v>
      </c>
    </row>
    <row r="20" spans="1:12" x14ac:dyDescent="0.25">
      <c r="A20" t="s">
        <v>275</v>
      </c>
      <c r="B20" t="s">
        <v>283</v>
      </c>
      <c r="C20" t="s">
        <v>1439</v>
      </c>
      <c r="D20" t="s">
        <v>1440</v>
      </c>
      <c r="E20" t="s">
        <v>283</v>
      </c>
      <c r="F20" t="s">
        <v>2705</v>
      </c>
      <c r="G20" t="s">
        <v>2037</v>
      </c>
      <c r="H20" t="s">
        <v>2038</v>
      </c>
      <c r="I20" t="s">
        <v>3297</v>
      </c>
      <c r="J20" t="s">
        <v>3298</v>
      </c>
      <c r="K20" t="s">
        <v>283</v>
      </c>
      <c r="L20" t="str">
        <f>_xlfn.TEXTJOIN("_",TRUE,Table2[[#This Row],[GEAR]:[DESIGNATINO]])</f>
        <v>UP6A_BKR_BUS-6A-3</v>
      </c>
    </row>
    <row r="21" spans="1:12" x14ac:dyDescent="0.25">
      <c r="A21" t="s">
        <v>275</v>
      </c>
      <c r="B21" t="s">
        <v>284</v>
      </c>
      <c r="C21" t="s">
        <v>1441</v>
      </c>
      <c r="D21" t="s">
        <v>1442</v>
      </c>
      <c r="E21" t="s">
        <v>284</v>
      </c>
      <c r="F21" t="s">
        <v>2706</v>
      </c>
      <c r="G21" t="s">
        <v>2037</v>
      </c>
      <c r="H21" t="s">
        <v>2038</v>
      </c>
      <c r="I21" t="s">
        <v>3297</v>
      </c>
      <c r="J21" t="s">
        <v>3298</v>
      </c>
      <c r="K21" t="s">
        <v>284</v>
      </c>
      <c r="L21" t="str">
        <f>_xlfn.TEXTJOIN("_",TRUE,Table2[[#This Row],[GEAR]:[DESIGNATINO]])</f>
        <v>UP6A_BKR_BUS-6A-4</v>
      </c>
    </row>
    <row r="22" spans="1:12" x14ac:dyDescent="0.25">
      <c r="A22" t="s">
        <v>275</v>
      </c>
      <c r="B22" t="s">
        <v>285</v>
      </c>
      <c r="C22" t="s">
        <v>671</v>
      </c>
      <c r="D22" t="s">
        <v>1443</v>
      </c>
      <c r="E22" t="s">
        <v>285</v>
      </c>
      <c r="F22" t="s">
        <v>2707</v>
      </c>
      <c r="G22" t="s">
        <v>2037</v>
      </c>
      <c r="H22" t="s">
        <v>2038</v>
      </c>
      <c r="I22" t="s">
        <v>3297</v>
      </c>
      <c r="J22" t="s">
        <v>3298</v>
      </c>
      <c r="K22" t="s">
        <v>285</v>
      </c>
      <c r="L22" t="str">
        <f>_xlfn.TEXTJOIN("_",TRUE,Table2[[#This Row],[GEAR]:[DESIGNATINO]])</f>
        <v>UP6A_BKR_BUS-6A-5</v>
      </c>
    </row>
    <row r="23" spans="1:12" x14ac:dyDescent="0.25">
      <c r="A23" t="s">
        <v>275</v>
      </c>
      <c r="B23" t="s">
        <v>286</v>
      </c>
      <c r="C23" t="s">
        <v>671</v>
      </c>
      <c r="D23" t="s">
        <v>1444</v>
      </c>
      <c r="E23" t="s">
        <v>286</v>
      </c>
      <c r="F23" t="s">
        <v>2708</v>
      </c>
      <c r="G23" t="s">
        <v>2037</v>
      </c>
      <c r="H23" t="s">
        <v>2038</v>
      </c>
      <c r="I23" t="s">
        <v>3297</v>
      </c>
      <c r="J23" t="s">
        <v>3298</v>
      </c>
      <c r="K23" t="s">
        <v>286</v>
      </c>
      <c r="L23" t="str">
        <f>_xlfn.TEXTJOIN("_",TRUE,Table2[[#This Row],[GEAR]:[DESIGNATINO]])</f>
        <v>UP6A_BKR_BUS-6A-6</v>
      </c>
    </row>
    <row r="24" spans="1:12" x14ac:dyDescent="0.25">
      <c r="A24" t="s">
        <v>275</v>
      </c>
      <c r="B24" t="s">
        <v>287</v>
      </c>
      <c r="C24" t="s">
        <v>1445</v>
      </c>
      <c r="D24" t="s">
        <v>1446</v>
      </c>
      <c r="E24" t="s">
        <v>287</v>
      </c>
      <c r="F24" t="s">
        <v>2709</v>
      </c>
      <c r="G24" t="s">
        <v>2037</v>
      </c>
      <c r="H24" t="s">
        <v>2038</v>
      </c>
      <c r="I24" t="s">
        <v>3297</v>
      </c>
      <c r="J24" t="s">
        <v>3298</v>
      </c>
      <c r="K24" t="s">
        <v>287</v>
      </c>
      <c r="L24" t="str">
        <f>_xlfn.TEXTJOIN("_",TRUE,Table2[[#This Row],[GEAR]:[DESIGNATINO]])</f>
        <v>UP6A_BKR_UOB-6A-1</v>
      </c>
    </row>
    <row r="25" spans="1:12" x14ac:dyDescent="0.25">
      <c r="A25" t="s">
        <v>275</v>
      </c>
      <c r="B25" t="s">
        <v>8</v>
      </c>
      <c r="C25" t="s">
        <v>8</v>
      </c>
      <c r="F25" t="s">
        <v>2710</v>
      </c>
      <c r="G25" t="s">
        <v>2037</v>
      </c>
      <c r="H25" t="s">
        <v>2038</v>
      </c>
      <c r="I25" t="s">
        <v>3297</v>
      </c>
      <c r="J25" t="s">
        <v>3298</v>
      </c>
      <c r="K25" t="s">
        <v>3302</v>
      </c>
      <c r="L25" t="str">
        <f>_xlfn.TEXTJOIN("_",TRUE,Table2[[#This Row],[GEAR]:[DESIGNATINO]])</f>
        <v>UP6A_BKR_SPARE-02</v>
      </c>
    </row>
    <row r="26" spans="1:12" hidden="1" x14ac:dyDescent="0.25">
      <c r="A26" t="s">
        <v>275</v>
      </c>
      <c r="B26" t="s">
        <v>26</v>
      </c>
      <c r="C26" t="s">
        <v>1135</v>
      </c>
      <c r="D26" t="s">
        <v>1447</v>
      </c>
      <c r="E26" t="s">
        <v>687</v>
      </c>
      <c r="F26" t="s">
        <v>2711</v>
      </c>
      <c r="G26" t="s">
        <v>2037</v>
      </c>
      <c r="H26" t="s">
        <v>2038</v>
      </c>
      <c r="I26" t="s">
        <v>3297</v>
      </c>
      <c r="J26" t="s">
        <v>3299</v>
      </c>
      <c r="L26" t="str">
        <f>_xlfn.TEXTJOIN("_",TRUE,Table2[[#This Row],[GEAR]:[DESIGNATINO]])</f>
        <v>UP6A_PQM</v>
      </c>
    </row>
    <row r="27" spans="1:12" x14ac:dyDescent="0.25">
      <c r="A27" t="s">
        <v>288</v>
      </c>
      <c r="B27" t="s">
        <v>31</v>
      </c>
      <c r="C27" t="s">
        <v>694</v>
      </c>
      <c r="D27" t="s">
        <v>1448</v>
      </c>
      <c r="E27" t="s">
        <v>31</v>
      </c>
      <c r="F27" t="s">
        <v>2714</v>
      </c>
      <c r="G27" t="s">
        <v>2037</v>
      </c>
      <c r="H27" t="s">
        <v>2038</v>
      </c>
      <c r="I27" t="s">
        <v>3300</v>
      </c>
      <c r="J27" t="s">
        <v>3298</v>
      </c>
      <c r="K27" t="s">
        <v>31</v>
      </c>
      <c r="L27" t="str">
        <f>_xlfn.TEXTJOIN("_",TRUE,Table2[[#This Row],[GEAR]:[DESIGNATINO]])</f>
        <v>ODP-6A_BKR_UOB</v>
      </c>
    </row>
    <row r="28" spans="1:12" x14ac:dyDescent="0.25">
      <c r="A28" t="s">
        <v>288</v>
      </c>
      <c r="B28" t="s">
        <v>17</v>
      </c>
      <c r="C28" t="s">
        <v>1449</v>
      </c>
      <c r="D28" t="s">
        <v>1450</v>
      </c>
      <c r="E28" t="s">
        <v>17</v>
      </c>
      <c r="F28" t="s">
        <v>2715</v>
      </c>
      <c r="G28" t="s">
        <v>2037</v>
      </c>
      <c r="H28" t="s">
        <v>2038</v>
      </c>
      <c r="I28" t="s">
        <v>3300</v>
      </c>
      <c r="J28" t="s">
        <v>3298</v>
      </c>
      <c r="K28" t="s">
        <v>17</v>
      </c>
      <c r="L28" t="str">
        <f>_xlfn.TEXTJOIN("_",TRUE,Table2[[#This Row],[GEAR]:[DESIGNATINO]])</f>
        <v>ODP-6A_BKR_MIB</v>
      </c>
    </row>
    <row r="29" spans="1:12" x14ac:dyDescent="0.25">
      <c r="A29" t="s">
        <v>288</v>
      </c>
      <c r="B29" t="s">
        <v>16</v>
      </c>
      <c r="C29" t="s">
        <v>1451</v>
      </c>
      <c r="D29" t="s">
        <v>1452</v>
      </c>
      <c r="E29" t="s">
        <v>16</v>
      </c>
      <c r="F29" t="s">
        <v>2716</v>
      </c>
      <c r="G29" t="s">
        <v>2037</v>
      </c>
      <c r="H29" t="s">
        <v>2038</v>
      </c>
      <c r="I29" t="s">
        <v>3300</v>
      </c>
      <c r="J29" t="s">
        <v>3298</v>
      </c>
      <c r="K29" t="s">
        <v>16</v>
      </c>
      <c r="L29" t="str">
        <f>_xlfn.TEXTJOIN("_",TRUE,Table2[[#This Row],[GEAR]:[DESIGNATINO]])</f>
        <v>ODP-6A_BKR_MBB</v>
      </c>
    </row>
    <row r="30" spans="1:12" x14ac:dyDescent="0.25">
      <c r="A30" t="s">
        <v>288</v>
      </c>
      <c r="B30" t="s">
        <v>32</v>
      </c>
      <c r="C30" t="s">
        <v>700</v>
      </c>
      <c r="D30" t="s">
        <v>1453</v>
      </c>
      <c r="E30" t="s">
        <v>702</v>
      </c>
      <c r="F30" t="s">
        <v>2717</v>
      </c>
      <c r="G30" t="s">
        <v>2037</v>
      </c>
      <c r="H30" t="s">
        <v>2038</v>
      </c>
      <c r="I30" t="s">
        <v>3300</v>
      </c>
      <c r="J30" t="s">
        <v>3298</v>
      </c>
      <c r="K30" t="s">
        <v>702</v>
      </c>
      <c r="L30" t="str">
        <f>_xlfn.TEXTJOIN("_",TRUE,Table2[[#This Row],[GEAR]:[DESIGNATINO]])</f>
        <v>ODP-6A_BKR_FCB1</v>
      </c>
    </row>
    <row r="31" spans="1:12" x14ac:dyDescent="0.25">
      <c r="A31" t="s">
        <v>288</v>
      </c>
      <c r="B31" t="s">
        <v>33</v>
      </c>
      <c r="C31" t="s">
        <v>703</v>
      </c>
      <c r="D31" t="s">
        <v>1454</v>
      </c>
      <c r="E31" t="s">
        <v>705</v>
      </c>
      <c r="F31" t="s">
        <v>2718</v>
      </c>
      <c r="G31" t="s">
        <v>2037</v>
      </c>
      <c r="H31" t="s">
        <v>2038</v>
      </c>
      <c r="I31" t="s">
        <v>3300</v>
      </c>
      <c r="J31" t="s">
        <v>3298</v>
      </c>
      <c r="K31" t="s">
        <v>705</v>
      </c>
      <c r="L31" t="str">
        <f>_xlfn.TEXTJOIN("_",TRUE,Table2[[#This Row],[GEAR]:[DESIGNATINO]])</f>
        <v>ODP-6A_BKR_FCB2</v>
      </c>
    </row>
    <row r="32" spans="1:12" x14ac:dyDescent="0.25">
      <c r="A32" t="s">
        <v>288</v>
      </c>
      <c r="B32" t="s">
        <v>289</v>
      </c>
      <c r="C32" t="s">
        <v>706</v>
      </c>
      <c r="D32" t="s">
        <v>1455</v>
      </c>
      <c r="E32" t="s">
        <v>708</v>
      </c>
      <c r="F32" t="s">
        <v>2719</v>
      </c>
      <c r="G32" t="s">
        <v>2037</v>
      </c>
      <c r="H32" t="s">
        <v>2038</v>
      </c>
      <c r="I32" t="s">
        <v>3300</v>
      </c>
      <c r="J32" t="s">
        <v>3298</v>
      </c>
      <c r="K32" t="s">
        <v>708</v>
      </c>
      <c r="L32" t="str">
        <f>_xlfn.TEXTJOIN("_",TRUE,Table2[[#This Row],[GEAR]:[DESIGNATINO]])</f>
        <v>ODP-6A_BKR_FCB3</v>
      </c>
    </row>
    <row r="33" spans="1:12" x14ac:dyDescent="0.25">
      <c r="A33" t="s">
        <v>288</v>
      </c>
      <c r="B33" t="s">
        <v>290</v>
      </c>
      <c r="C33" t="s">
        <v>709</v>
      </c>
      <c r="D33" t="s">
        <v>1456</v>
      </c>
      <c r="E33" t="s">
        <v>711</v>
      </c>
      <c r="F33" t="s">
        <v>2720</v>
      </c>
      <c r="G33" t="s">
        <v>2037</v>
      </c>
      <c r="H33" t="s">
        <v>2038</v>
      </c>
      <c r="I33" t="s">
        <v>3300</v>
      </c>
      <c r="J33" t="s">
        <v>3298</v>
      </c>
      <c r="K33" t="s">
        <v>711</v>
      </c>
      <c r="L33" t="str">
        <f>_xlfn.TEXTJOIN("_",TRUE,Table2[[#This Row],[GEAR]:[DESIGNATINO]])</f>
        <v>ODP-6A_BKR_FCB4</v>
      </c>
    </row>
    <row r="34" spans="1:12" x14ac:dyDescent="0.25">
      <c r="A34" t="s">
        <v>288</v>
      </c>
      <c r="B34" t="s">
        <v>291</v>
      </c>
      <c r="C34" t="s">
        <v>712</v>
      </c>
      <c r="D34" t="s">
        <v>1457</v>
      </c>
      <c r="E34" t="s">
        <v>714</v>
      </c>
      <c r="F34" t="s">
        <v>2721</v>
      </c>
      <c r="G34" t="s">
        <v>2037</v>
      </c>
      <c r="H34" t="s">
        <v>2038</v>
      </c>
      <c r="I34" t="s">
        <v>3300</v>
      </c>
      <c r="J34" t="s">
        <v>3298</v>
      </c>
      <c r="K34" t="s">
        <v>714</v>
      </c>
      <c r="L34" t="str">
        <f>_xlfn.TEXTJOIN("_",TRUE,Table2[[#This Row],[GEAR]:[DESIGNATINO]])</f>
        <v>ODP-6A_BKR_FCB5</v>
      </c>
    </row>
    <row r="35" spans="1:12" x14ac:dyDescent="0.25">
      <c r="A35" t="s">
        <v>288</v>
      </c>
      <c r="B35" t="s">
        <v>292</v>
      </c>
      <c r="C35" t="s">
        <v>715</v>
      </c>
      <c r="D35" t="s">
        <v>1458</v>
      </c>
      <c r="E35" t="s">
        <v>717</v>
      </c>
      <c r="F35" t="s">
        <v>2722</v>
      </c>
      <c r="G35" t="s">
        <v>2037</v>
      </c>
      <c r="H35" t="s">
        <v>2038</v>
      </c>
      <c r="I35" t="s">
        <v>3300</v>
      </c>
      <c r="J35" t="s">
        <v>3298</v>
      </c>
      <c r="K35" t="s">
        <v>717</v>
      </c>
      <c r="L35" t="str">
        <f>_xlfn.TEXTJOIN("_",TRUE,Table2[[#This Row],[GEAR]:[DESIGNATINO]])</f>
        <v>ODP-6A_BKR_FCB6</v>
      </c>
    </row>
    <row r="36" spans="1:12" x14ac:dyDescent="0.25">
      <c r="A36" t="s">
        <v>288</v>
      </c>
      <c r="B36" t="s">
        <v>293</v>
      </c>
      <c r="C36" t="s">
        <v>718</v>
      </c>
      <c r="D36" t="s">
        <v>1459</v>
      </c>
      <c r="E36" t="s">
        <v>720</v>
      </c>
      <c r="F36" t="s">
        <v>2723</v>
      </c>
      <c r="G36" t="s">
        <v>2037</v>
      </c>
      <c r="H36" t="s">
        <v>2038</v>
      </c>
      <c r="I36" t="s">
        <v>3300</v>
      </c>
      <c r="J36" t="s">
        <v>3298</v>
      </c>
      <c r="K36" t="s">
        <v>720</v>
      </c>
      <c r="L36" t="str">
        <f>_xlfn.TEXTJOIN("_",TRUE,Table2[[#This Row],[GEAR]:[DESIGNATINO]])</f>
        <v>ODP-6A_BKR_FCB7</v>
      </c>
    </row>
    <row r="37" spans="1:12" x14ac:dyDescent="0.25">
      <c r="A37" t="s">
        <v>288</v>
      </c>
      <c r="B37" t="s">
        <v>8</v>
      </c>
      <c r="C37" t="s">
        <v>721</v>
      </c>
      <c r="D37" t="s">
        <v>1460</v>
      </c>
      <c r="E37" t="s">
        <v>645</v>
      </c>
      <c r="F37" t="s">
        <v>2724</v>
      </c>
      <c r="G37" t="s">
        <v>2037</v>
      </c>
      <c r="H37" t="s">
        <v>2038</v>
      </c>
      <c r="I37" t="s">
        <v>3300</v>
      </c>
      <c r="J37" t="s">
        <v>3298</v>
      </c>
      <c r="K37" t="s">
        <v>3301</v>
      </c>
      <c r="L37" t="str">
        <f>_xlfn.TEXTJOIN("_",TRUE,Table2[[#This Row],[GEAR]:[DESIGNATINO]])</f>
        <v>ODP-6A_BKR_SPARE-01</v>
      </c>
    </row>
    <row r="38" spans="1:12" x14ac:dyDescent="0.25">
      <c r="A38" t="s">
        <v>288</v>
      </c>
      <c r="B38" t="s">
        <v>8</v>
      </c>
      <c r="C38" t="s">
        <v>723</v>
      </c>
      <c r="D38" t="s">
        <v>1461</v>
      </c>
      <c r="E38" t="s">
        <v>660</v>
      </c>
      <c r="F38" t="s">
        <v>2725</v>
      </c>
      <c r="G38" t="s">
        <v>2037</v>
      </c>
      <c r="H38" t="s">
        <v>2038</v>
      </c>
      <c r="I38" t="s">
        <v>3300</v>
      </c>
      <c r="J38" t="s">
        <v>3298</v>
      </c>
      <c r="K38" t="s">
        <v>3302</v>
      </c>
      <c r="L38" t="str">
        <f>_xlfn.TEXTJOIN("_",TRUE,Table2[[#This Row],[GEAR]:[DESIGNATINO]])</f>
        <v>ODP-6A_BKR_SPARE-02</v>
      </c>
    </row>
    <row r="39" spans="1:12" x14ac:dyDescent="0.25">
      <c r="A39" t="s">
        <v>288</v>
      </c>
      <c r="B39" t="s">
        <v>39</v>
      </c>
      <c r="C39" t="s">
        <v>725</v>
      </c>
      <c r="D39" t="s">
        <v>1462</v>
      </c>
      <c r="E39" t="s">
        <v>39</v>
      </c>
      <c r="F39" t="s">
        <v>2726</v>
      </c>
      <c r="G39" t="s">
        <v>2037</v>
      </c>
      <c r="H39" t="s">
        <v>2038</v>
      </c>
      <c r="I39" t="s">
        <v>3300</v>
      </c>
      <c r="J39" t="s">
        <v>3298</v>
      </c>
      <c r="K39" t="s">
        <v>39</v>
      </c>
      <c r="L39" t="str">
        <f>_xlfn.TEXTJOIN("_",TRUE,Table2[[#This Row],[GEAR]:[DESIGNATINO]])</f>
        <v>ODP-6A_BKR_AHF</v>
      </c>
    </row>
    <row r="40" spans="1:12" hidden="1" x14ac:dyDescent="0.25">
      <c r="A40" t="s">
        <v>288</v>
      </c>
      <c r="B40" t="s">
        <v>40</v>
      </c>
      <c r="C40" t="s">
        <v>728</v>
      </c>
      <c r="D40" t="s">
        <v>1463</v>
      </c>
      <c r="E40" t="s">
        <v>687</v>
      </c>
      <c r="F40" t="s">
        <v>2727</v>
      </c>
      <c r="G40" t="s">
        <v>2037</v>
      </c>
      <c r="H40" t="s">
        <v>2038</v>
      </c>
      <c r="I40" t="s">
        <v>3300</v>
      </c>
      <c r="J40" t="s">
        <v>3299</v>
      </c>
      <c r="L40" t="str">
        <f>_xlfn.TEXTJOIN("_",TRUE,Table2[[#This Row],[GEAR]:[DESIGNATINO]])</f>
        <v>ODP-6A_PQM</v>
      </c>
    </row>
  </sheetData>
  <conditionalFormatting sqref="L2:L40">
    <cfRule type="duplicateValues" dxfId="6" priority="7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8ACA-BA1B-4815-B9E8-BE25BEB4E11F}">
  <dimension ref="A1:L40"/>
  <sheetViews>
    <sheetView workbookViewId="0">
      <selection activeCell="F4" sqref="F4:F5"/>
    </sheetView>
  </sheetViews>
  <sheetFormatPr defaultRowHeight="15" x14ac:dyDescent="0.25"/>
  <cols>
    <col min="1" max="1" width="25.140625" bestFit="1" customWidth="1"/>
    <col min="2" max="2" width="24.28515625" bestFit="1" customWidth="1"/>
    <col min="3" max="3" width="25.5703125" bestFit="1" customWidth="1"/>
    <col min="4" max="4" width="16.28515625" customWidth="1"/>
    <col min="5" max="5" width="23.28515625" customWidth="1"/>
    <col min="6" max="6" width="13.85546875" bestFit="1" customWidth="1"/>
    <col min="7" max="7" width="12.7109375" bestFit="1" customWidth="1"/>
    <col min="8" max="8" width="11.7109375" bestFit="1" customWidth="1"/>
    <col min="9" max="9" width="7.7109375" customWidth="1"/>
    <col min="10" max="10" width="7.28515625" customWidth="1"/>
    <col min="11" max="11" width="15.28515625" customWidth="1"/>
    <col min="12" max="12" width="29.5703125" customWidth="1"/>
  </cols>
  <sheetData>
    <row r="1" spans="1:12" x14ac:dyDescent="0.25">
      <c r="A1" t="s">
        <v>0</v>
      </c>
      <c r="B1" t="s">
        <v>1</v>
      </c>
      <c r="C1" t="s">
        <v>630</v>
      </c>
      <c r="D1" t="s">
        <v>631</v>
      </c>
      <c r="E1" t="s">
        <v>632</v>
      </c>
      <c r="F1" t="s">
        <v>2035</v>
      </c>
      <c r="G1" t="s">
        <v>2036</v>
      </c>
      <c r="H1" t="s">
        <v>692</v>
      </c>
      <c r="I1" t="s">
        <v>3294</v>
      </c>
      <c r="J1" t="s">
        <v>3295</v>
      </c>
      <c r="K1" t="s">
        <v>3296</v>
      </c>
      <c r="L1" t="s">
        <v>3292</v>
      </c>
    </row>
    <row r="2" spans="1:12" x14ac:dyDescent="0.25">
      <c r="A2" t="s">
        <v>294</v>
      </c>
      <c r="B2" t="s">
        <v>3</v>
      </c>
      <c r="C2" t="s">
        <v>633</v>
      </c>
      <c r="D2" t="s">
        <v>1464</v>
      </c>
      <c r="E2" t="s">
        <v>3</v>
      </c>
      <c r="F2" t="s">
        <v>2728</v>
      </c>
      <c r="G2" t="s">
        <v>2037</v>
      </c>
      <c r="H2" t="s">
        <v>2038</v>
      </c>
      <c r="I2" t="s">
        <v>3303</v>
      </c>
      <c r="J2" t="s">
        <v>3298</v>
      </c>
      <c r="K2" t="s">
        <v>3</v>
      </c>
      <c r="L2" t="str">
        <f>_xlfn.TEXTJOIN("_", TRUE, I2:K2)</f>
        <v>SW6B_BKR_UCB</v>
      </c>
    </row>
    <row r="3" spans="1:12" hidden="1" x14ac:dyDescent="0.25">
      <c r="A3" t="s">
        <v>294</v>
      </c>
      <c r="B3" t="s">
        <v>27</v>
      </c>
      <c r="C3" t="s">
        <v>688</v>
      </c>
      <c r="D3" t="s">
        <v>1465</v>
      </c>
      <c r="E3" t="s">
        <v>1465</v>
      </c>
      <c r="F3" t="s">
        <v>2729</v>
      </c>
      <c r="G3" t="s">
        <v>2037</v>
      </c>
      <c r="H3" t="s">
        <v>2038</v>
      </c>
      <c r="I3" t="s">
        <v>1465</v>
      </c>
      <c r="L3" t="str">
        <f t="shared" ref="L3:L40" si="0">_xlfn.TEXTJOIN("_", TRUE, I3:K3)</f>
        <v>XFMR-6B</v>
      </c>
    </row>
    <row r="4" spans="1:12" x14ac:dyDescent="0.25">
      <c r="A4" t="s">
        <v>295</v>
      </c>
      <c r="B4" t="s">
        <v>5</v>
      </c>
      <c r="C4" t="s">
        <v>1407</v>
      </c>
      <c r="D4" t="s">
        <v>1466</v>
      </c>
      <c r="E4" t="s">
        <v>638</v>
      </c>
      <c r="F4" t="s">
        <v>2730</v>
      </c>
      <c r="G4" t="s">
        <v>2037</v>
      </c>
      <c r="H4" t="s">
        <v>2038</v>
      </c>
      <c r="I4" t="s">
        <v>3303</v>
      </c>
      <c r="J4" t="s">
        <v>3298</v>
      </c>
      <c r="K4" t="s">
        <v>1647</v>
      </c>
      <c r="L4" t="str">
        <f t="shared" si="0"/>
        <v>SW6B_BKR_MCB-01</v>
      </c>
    </row>
    <row r="5" spans="1:12" x14ac:dyDescent="0.25">
      <c r="A5" t="s">
        <v>295</v>
      </c>
      <c r="B5" t="s">
        <v>125</v>
      </c>
      <c r="C5" t="s">
        <v>1409</v>
      </c>
      <c r="D5" t="s">
        <v>1467</v>
      </c>
      <c r="E5" t="s">
        <v>1100</v>
      </c>
      <c r="F5" t="s">
        <v>2731</v>
      </c>
      <c r="G5" t="s">
        <v>2037</v>
      </c>
      <c r="H5" t="s">
        <v>2038</v>
      </c>
      <c r="I5" t="s">
        <v>3303</v>
      </c>
      <c r="J5" t="s">
        <v>3298</v>
      </c>
      <c r="K5" t="s">
        <v>3305</v>
      </c>
      <c r="L5" t="str">
        <f t="shared" si="0"/>
        <v>SW6B_BKR_MCB-02</v>
      </c>
    </row>
    <row r="6" spans="1:12" x14ac:dyDescent="0.25">
      <c r="A6" t="s">
        <v>296</v>
      </c>
      <c r="B6" t="s">
        <v>297</v>
      </c>
      <c r="C6" t="s">
        <v>1411</v>
      </c>
      <c r="D6" t="s">
        <v>1468</v>
      </c>
      <c r="E6" t="s">
        <v>297</v>
      </c>
      <c r="F6" t="s">
        <v>2732</v>
      </c>
      <c r="G6" t="s">
        <v>2037</v>
      </c>
      <c r="H6" t="s">
        <v>2038</v>
      </c>
      <c r="I6" t="s">
        <v>3303</v>
      </c>
      <c r="J6" t="s">
        <v>3298</v>
      </c>
      <c r="K6" t="s">
        <v>297</v>
      </c>
      <c r="L6" t="str">
        <f t="shared" si="0"/>
        <v>SW6B_BKR_DP-6B-1</v>
      </c>
    </row>
    <row r="7" spans="1:12" x14ac:dyDescent="0.25">
      <c r="A7" t="s">
        <v>296</v>
      </c>
      <c r="B7" t="s">
        <v>298</v>
      </c>
      <c r="C7" t="s">
        <v>1413</v>
      </c>
      <c r="D7" t="s">
        <v>1469</v>
      </c>
      <c r="E7" t="s">
        <v>298</v>
      </c>
      <c r="F7" t="s">
        <v>2733</v>
      </c>
      <c r="G7" t="s">
        <v>2037</v>
      </c>
      <c r="H7" t="s">
        <v>2038</v>
      </c>
      <c r="I7" t="s">
        <v>3303</v>
      </c>
      <c r="J7" t="s">
        <v>3298</v>
      </c>
      <c r="K7" t="s">
        <v>298</v>
      </c>
      <c r="L7" t="str">
        <f t="shared" si="0"/>
        <v>SW6B_BKR_DP-6B-2</v>
      </c>
    </row>
    <row r="8" spans="1:12" x14ac:dyDescent="0.25">
      <c r="A8" t="s">
        <v>295</v>
      </c>
      <c r="B8" t="s">
        <v>8</v>
      </c>
      <c r="C8" t="s">
        <v>643</v>
      </c>
      <c r="D8" t="s">
        <v>1470</v>
      </c>
      <c r="E8" t="s">
        <v>8</v>
      </c>
      <c r="F8" t="s">
        <v>2734</v>
      </c>
      <c r="G8" t="s">
        <v>2037</v>
      </c>
      <c r="H8" t="s">
        <v>2038</v>
      </c>
      <c r="I8" t="s">
        <v>3303</v>
      </c>
      <c r="J8" t="s">
        <v>3298</v>
      </c>
      <c r="K8" t="s">
        <v>3301</v>
      </c>
      <c r="L8" t="str">
        <f t="shared" si="0"/>
        <v>SW6B_BKR_SPARE-01</v>
      </c>
    </row>
    <row r="9" spans="1:12" x14ac:dyDescent="0.25">
      <c r="A9" t="s">
        <v>295</v>
      </c>
      <c r="B9" t="s">
        <v>299</v>
      </c>
      <c r="C9" t="s">
        <v>648</v>
      </c>
      <c r="D9" t="s">
        <v>1471</v>
      </c>
      <c r="E9" t="s">
        <v>299</v>
      </c>
      <c r="F9" t="s">
        <v>2736</v>
      </c>
      <c r="G9" t="s">
        <v>2037</v>
      </c>
      <c r="H9" t="s">
        <v>2038</v>
      </c>
      <c r="I9" t="s">
        <v>3303</v>
      </c>
      <c r="J9" t="s">
        <v>3298</v>
      </c>
      <c r="K9" t="s">
        <v>299</v>
      </c>
      <c r="L9" t="str">
        <f t="shared" si="0"/>
        <v>SW6B_BKR_CH-6B</v>
      </c>
    </row>
    <row r="10" spans="1:12" x14ac:dyDescent="0.25">
      <c r="A10" t="s">
        <v>295</v>
      </c>
      <c r="B10" t="s">
        <v>11</v>
      </c>
      <c r="C10" t="s">
        <v>650</v>
      </c>
      <c r="D10" t="s">
        <v>1472</v>
      </c>
      <c r="E10" t="s">
        <v>652</v>
      </c>
      <c r="F10" t="s">
        <v>2737</v>
      </c>
      <c r="G10" t="s">
        <v>2037</v>
      </c>
      <c r="H10" t="s">
        <v>2038</v>
      </c>
      <c r="I10" t="s">
        <v>3303</v>
      </c>
      <c r="J10" t="s">
        <v>3298</v>
      </c>
      <c r="K10" t="s">
        <v>11</v>
      </c>
      <c r="L10" t="str">
        <f t="shared" si="0"/>
        <v>SW6B_BKR_MUPS-RIB</v>
      </c>
    </row>
    <row r="11" spans="1:12" x14ac:dyDescent="0.25">
      <c r="A11" t="s">
        <v>296</v>
      </c>
      <c r="B11" t="s">
        <v>12</v>
      </c>
      <c r="C11" t="s">
        <v>653</v>
      </c>
      <c r="D11" t="s">
        <v>1473</v>
      </c>
      <c r="E11" t="s">
        <v>655</v>
      </c>
      <c r="F11" t="s">
        <v>2738</v>
      </c>
      <c r="G11" t="s">
        <v>2037</v>
      </c>
      <c r="H11" t="s">
        <v>2038</v>
      </c>
      <c r="I11" t="s">
        <v>3303</v>
      </c>
      <c r="J11" t="s">
        <v>3298</v>
      </c>
      <c r="K11" t="s">
        <v>12</v>
      </c>
      <c r="L11" t="str">
        <f t="shared" si="0"/>
        <v>SW6B_BKR_MUPS-BIB</v>
      </c>
    </row>
    <row r="12" spans="1:12" x14ac:dyDescent="0.25">
      <c r="A12" t="s">
        <v>295</v>
      </c>
      <c r="B12" t="s">
        <v>300</v>
      </c>
      <c r="C12" t="s">
        <v>1419</v>
      </c>
      <c r="D12" t="s">
        <v>1474</v>
      </c>
      <c r="E12" t="s">
        <v>300</v>
      </c>
      <c r="F12" t="s">
        <v>2739</v>
      </c>
      <c r="G12" t="s">
        <v>2037</v>
      </c>
      <c r="H12" t="s">
        <v>2038</v>
      </c>
      <c r="I12" t="s">
        <v>3303</v>
      </c>
      <c r="J12" t="s">
        <v>3298</v>
      </c>
      <c r="K12" t="s">
        <v>300</v>
      </c>
      <c r="L12" t="str">
        <f t="shared" si="0"/>
        <v>SW6B_BKR_UPS-6B-1</v>
      </c>
    </row>
    <row r="13" spans="1:12" x14ac:dyDescent="0.25">
      <c r="A13" t="s">
        <v>296</v>
      </c>
      <c r="B13" t="s">
        <v>8</v>
      </c>
      <c r="C13" t="s">
        <v>1433</v>
      </c>
      <c r="D13" t="s">
        <v>1475</v>
      </c>
      <c r="E13" t="s">
        <v>8</v>
      </c>
      <c r="F13" t="s">
        <v>2740</v>
      </c>
      <c r="G13" t="s">
        <v>2037</v>
      </c>
      <c r="H13" t="s">
        <v>2038</v>
      </c>
      <c r="I13" t="s">
        <v>3303</v>
      </c>
      <c r="J13" t="s">
        <v>3298</v>
      </c>
      <c r="K13" t="s">
        <v>3302</v>
      </c>
      <c r="L13" t="str">
        <f t="shared" si="0"/>
        <v>SW6B_BKR_SPARE-02</v>
      </c>
    </row>
    <row r="14" spans="1:12" hidden="1" x14ac:dyDescent="0.25">
      <c r="A14" t="s">
        <v>295</v>
      </c>
      <c r="B14" t="s">
        <v>14</v>
      </c>
      <c r="C14" t="s">
        <v>1112</v>
      </c>
      <c r="D14" t="s">
        <v>1476</v>
      </c>
      <c r="E14" t="s">
        <v>1423</v>
      </c>
      <c r="F14" t="s">
        <v>2741</v>
      </c>
      <c r="G14" t="s">
        <v>2037</v>
      </c>
      <c r="H14" t="s">
        <v>2038</v>
      </c>
      <c r="I14" t="s">
        <v>3303</v>
      </c>
      <c r="J14" t="s">
        <v>3299</v>
      </c>
      <c r="L14" t="str">
        <f t="shared" si="0"/>
        <v>SW6B_PQM</v>
      </c>
    </row>
    <row r="15" spans="1:12" x14ac:dyDescent="0.25">
      <c r="A15" t="s">
        <v>296</v>
      </c>
      <c r="B15" t="s">
        <v>16</v>
      </c>
      <c r="C15" t="s">
        <v>664</v>
      </c>
      <c r="D15" t="s">
        <v>1483</v>
      </c>
      <c r="E15" t="s">
        <v>16</v>
      </c>
      <c r="F15" t="s">
        <v>2742</v>
      </c>
      <c r="G15" t="s">
        <v>2037</v>
      </c>
      <c r="H15" t="s">
        <v>2038</v>
      </c>
      <c r="I15" t="s">
        <v>3304</v>
      </c>
      <c r="J15" t="s">
        <v>3298</v>
      </c>
      <c r="K15" t="s">
        <v>16</v>
      </c>
      <c r="L15" t="str">
        <f t="shared" si="0"/>
        <v>UP6B_BKR_MBB</v>
      </c>
    </row>
    <row r="16" spans="1:12" x14ac:dyDescent="0.25">
      <c r="A16" t="s">
        <v>296</v>
      </c>
      <c r="B16" t="s">
        <v>17</v>
      </c>
      <c r="C16" t="s">
        <v>666</v>
      </c>
      <c r="D16" t="s">
        <v>1484</v>
      </c>
      <c r="E16" t="s">
        <v>17</v>
      </c>
      <c r="F16" t="s">
        <v>2743</v>
      </c>
      <c r="G16" t="s">
        <v>2037</v>
      </c>
      <c r="H16" t="s">
        <v>2038</v>
      </c>
      <c r="I16" t="s">
        <v>3304</v>
      </c>
      <c r="J16" t="s">
        <v>3298</v>
      </c>
      <c r="K16" t="s">
        <v>17</v>
      </c>
      <c r="L16" t="str">
        <f t="shared" si="0"/>
        <v>UP6B_BKR_MIB</v>
      </c>
    </row>
    <row r="17" spans="1:12" x14ac:dyDescent="0.25">
      <c r="A17" t="s">
        <v>296</v>
      </c>
      <c r="B17" t="s">
        <v>301</v>
      </c>
      <c r="C17" t="s">
        <v>668</v>
      </c>
      <c r="D17" t="s">
        <v>1485</v>
      </c>
      <c r="E17" t="s">
        <v>670</v>
      </c>
      <c r="F17" t="s">
        <v>2744</v>
      </c>
      <c r="G17" t="s">
        <v>2037</v>
      </c>
      <c r="H17" t="s">
        <v>2038</v>
      </c>
      <c r="I17" t="s">
        <v>3304</v>
      </c>
      <c r="J17" t="s">
        <v>3298</v>
      </c>
      <c r="K17" t="s">
        <v>670</v>
      </c>
      <c r="L17" t="str">
        <f t="shared" si="0"/>
        <v>UP6B_BKR_UP</v>
      </c>
    </row>
    <row r="18" spans="1:12" x14ac:dyDescent="0.25">
      <c r="A18" t="s">
        <v>296</v>
      </c>
      <c r="B18" t="s">
        <v>8</v>
      </c>
      <c r="C18" t="s">
        <v>8</v>
      </c>
      <c r="D18" t="s">
        <v>1486</v>
      </c>
      <c r="E18" t="s">
        <v>8</v>
      </c>
      <c r="F18" t="s">
        <v>2745</v>
      </c>
      <c r="G18" t="s">
        <v>2037</v>
      </c>
      <c r="H18" t="s">
        <v>2038</v>
      </c>
      <c r="I18" t="s">
        <v>3304</v>
      </c>
      <c r="J18" t="s">
        <v>3298</v>
      </c>
      <c r="K18" t="s">
        <v>8</v>
      </c>
      <c r="L18" t="str">
        <f t="shared" si="0"/>
        <v>UP6B_BKR_SPARE</v>
      </c>
    </row>
    <row r="19" spans="1:12" x14ac:dyDescent="0.25">
      <c r="A19" t="s">
        <v>296</v>
      </c>
      <c r="B19" t="s">
        <v>302</v>
      </c>
      <c r="C19" t="s">
        <v>1435</v>
      </c>
      <c r="D19" t="s">
        <v>1487</v>
      </c>
      <c r="E19" t="s">
        <v>302</v>
      </c>
      <c r="F19" t="s">
        <v>2746</v>
      </c>
      <c r="G19" t="s">
        <v>2037</v>
      </c>
      <c r="H19" t="s">
        <v>2038</v>
      </c>
      <c r="I19" t="s">
        <v>3304</v>
      </c>
      <c r="J19" t="s">
        <v>3298</v>
      </c>
      <c r="K19" t="s">
        <v>302</v>
      </c>
      <c r="L19" t="str">
        <f t="shared" si="0"/>
        <v>UP6B_BKR_BUS-6B-1</v>
      </c>
    </row>
    <row r="20" spans="1:12" x14ac:dyDescent="0.25">
      <c r="A20" t="s">
        <v>296</v>
      </c>
      <c r="B20" t="s">
        <v>303</v>
      </c>
      <c r="C20" t="s">
        <v>1437</v>
      </c>
      <c r="D20" t="s">
        <v>1488</v>
      </c>
      <c r="E20" t="s">
        <v>303</v>
      </c>
      <c r="F20" t="s">
        <v>2747</v>
      </c>
      <c r="G20" t="s">
        <v>2037</v>
      </c>
      <c r="H20" t="s">
        <v>2038</v>
      </c>
      <c r="I20" t="s">
        <v>3304</v>
      </c>
      <c r="J20" t="s">
        <v>3298</v>
      </c>
      <c r="K20" t="s">
        <v>303</v>
      </c>
      <c r="L20" t="str">
        <f t="shared" si="0"/>
        <v>UP6B_BKR_BUS-6B-2</v>
      </c>
    </row>
    <row r="21" spans="1:12" x14ac:dyDescent="0.25">
      <c r="A21" t="s">
        <v>296</v>
      </c>
      <c r="B21" t="s">
        <v>304</v>
      </c>
      <c r="C21" t="s">
        <v>1439</v>
      </c>
      <c r="D21" t="s">
        <v>1489</v>
      </c>
      <c r="E21" t="s">
        <v>304</v>
      </c>
      <c r="F21" t="s">
        <v>2748</v>
      </c>
      <c r="G21" t="s">
        <v>2037</v>
      </c>
      <c r="H21" t="s">
        <v>2038</v>
      </c>
      <c r="I21" t="s">
        <v>3304</v>
      </c>
      <c r="J21" t="s">
        <v>3298</v>
      </c>
      <c r="K21" t="s">
        <v>304</v>
      </c>
      <c r="L21" t="str">
        <f t="shared" si="0"/>
        <v>UP6B_BKR_BUS-6B-3</v>
      </c>
    </row>
    <row r="22" spans="1:12" x14ac:dyDescent="0.25">
      <c r="A22" t="s">
        <v>296</v>
      </c>
      <c r="B22" t="s">
        <v>305</v>
      </c>
      <c r="C22" t="s">
        <v>1441</v>
      </c>
      <c r="D22" t="s">
        <v>1490</v>
      </c>
      <c r="E22" t="s">
        <v>305</v>
      </c>
      <c r="F22" t="s">
        <v>2749</v>
      </c>
      <c r="G22" t="s">
        <v>2037</v>
      </c>
      <c r="H22" t="s">
        <v>2038</v>
      </c>
      <c r="I22" t="s">
        <v>3304</v>
      </c>
      <c r="J22" t="s">
        <v>3298</v>
      </c>
      <c r="K22" t="s">
        <v>305</v>
      </c>
      <c r="L22" t="str">
        <f t="shared" si="0"/>
        <v>UP6B_BKR_BUS-6B-4</v>
      </c>
    </row>
    <row r="23" spans="1:12" x14ac:dyDescent="0.25">
      <c r="A23" t="s">
        <v>296</v>
      </c>
      <c r="B23" t="s">
        <v>306</v>
      </c>
      <c r="C23" t="s">
        <v>671</v>
      </c>
      <c r="D23" t="s">
        <v>1491</v>
      </c>
      <c r="E23" t="s">
        <v>306</v>
      </c>
      <c r="F23" t="s">
        <v>2750</v>
      </c>
      <c r="G23" t="s">
        <v>2037</v>
      </c>
      <c r="H23" t="s">
        <v>2038</v>
      </c>
      <c r="I23" t="s">
        <v>3304</v>
      </c>
      <c r="J23" t="s">
        <v>3298</v>
      </c>
      <c r="K23" t="s">
        <v>306</v>
      </c>
      <c r="L23" t="str">
        <f t="shared" si="0"/>
        <v>UP6B_BKR_BUS-6B-5</v>
      </c>
    </row>
    <row r="24" spans="1:12" x14ac:dyDescent="0.25">
      <c r="A24" t="s">
        <v>296</v>
      </c>
      <c r="B24" t="s">
        <v>307</v>
      </c>
      <c r="C24" t="s">
        <v>671</v>
      </c>
      <c r="D24" t="s">
        <v>1492</v>
      </c>
      <c r="E24" t="s">
        <v>307</v>
      </c>
      <c r="F24" t="s">
        <v>2751</v>
      </c>
      <c r="G24" t="s">
        <v>2037</v>
      </c>
      <c r="H24" t="s">
        <v>2038</v>
      </c>
      <c r="I24" t="s">
        <v>3304</v>
      </c>
      <c r="J24" t="s">
        <v>3298</v>
      </c>
      <c r="K24" t="s">
        <v>307</v>
      </c>
      <c r="L24" t="str">
        <f t="shared" si="0"/>
        <v>UP6B_BKR_BUS-6B-6</v>
      </c>
    </row>
    <row r="25" spans="1:12" x14ac:dyDescent="0.25">
      <c r="A25" t="s">
        <v>296</v>
      </c>
      <c r="B25" t="s">
        <v>308</v>
      </c>
      <c r="C25" t="s">
        <v>1445</v>
      </c>
      <c r="D25" t="s">
        <v>1493</v>
      </c>
      <c r="E25" t="s">
        <v>308</v>
      </c>
      <c r="F25" t="s">
        <v>2752</v>
      </c>
      <c r="G25" t="s">
        <v>2037</v>
      </c>
      <c r="H25" t="s">
        <v>2038</v>
      </c>
      <c r="I25" t="s">
        <v>3304</v>
      </c>
      <c r="J25" t="s">
        <v>3298</v>
      </c>
      <c r="K25" t="s">
        <v>308</v>
      </c>
      <c r="L25" t="str">
        <f t="shared" si="0"/>
        <v>UP6B_BKR_UOB-6B-1</v>
      </c>
    </row>
    <row r="26" spans="1:12" hidden="1" x14ac:dyDescent="0.25">
      <c r="A26" t="s">
        <v>296</v>
      </c>
      <c r="B26" t="s">
        <v>26</v>
      </c>
      <c r="C26" t="s">
        <v>1135</v>
      </c>
      <c r="D26" t="s">
        <v>1494</v>
      </c>
      <c r="E26" t="s">
        <v>687</v>
      </c>
      <c r="F26" t="s">
        <v>2753</v>
      </c>
      <c r="G26" t="s">
        <v>2037</v>
      </c>
      <c r="H26" t="s">
        <v>2038</v>
      </c>
      <c r="I26" t="s">
        <v>3304</v>
      </c>
      <c r="J26" t="s">
        <v>3299</v>
      </c>
      <c r="L26" t="str">
        <f t="shared" si="0"/>
        <v>UP6B_PQM</v>
      </c>
    </row>
    <row r="27" spans="1:12" x14ac:dyDescent="0.25">
      <c r="A27" t="s">
        <v>309</v>
      </c>
      <c r="B27" t="s">
        <v>31</v>
      </c>
      <c r="C27" t="s">
        <v>694</v>
      </c>
      <c r="D27" t="s">
        <v>1495</v>
      </c>
      <c r="E27" t="s">
        <v>31</v>
      </c>
      <c r="F27" t="s">
        <v>2756</v>
      </c>
      <c r="G27" t="s">
        <v>2037</v>
      </c>
      <c r="H27" t="s">
        <v>2038</v>
      </c>
      <c r="I27" t="s">
        <v>3306</v>
      </c>
      <c r="J27" t="s">
        <v>3298</v>
      </c>
      <c r="K27" t="s">
        <v>31</v>
      </c>
      <c r="L27" t="str">
        <f t="shared" si="0"/>
        <v>ODP-6B_BKR_UOB</v>
      </c>
    </row>
    <row r="28" spans="1:12" x14ac:dyDescent="0.25">
      <c r="A28" t="s">
        <v>309</v>
      </c>
      <c r="B28" t="s">
        <v>17</v>
      </c>
      <c r="C28" t="s">
        <v>1449</v>
      </c>
      <c r="D28" t="s">
        <v>1496</v>
      </c>
      <c r="E28" t="s">
        <v>17</v>
      </c>
      <c r="F28" t="s">
        <v>2757</v>
      </c>
      <c r="G28" t="s">
        <v>2037</v>
      </c>
      <c r="H28" t="s">
        <v>2038</v>
      </c>
      <c r="I28" t="s">
        <v>3306</v>
      </c>
      <c r="J28" t="s">
        <v>3298</v>
      </c>
      <c r="K28" t="s">
        <v>17</v>
      </c>
      <c r="L28" t="str">
        <f t="shared" si="0"/>
        <v>ODP-6B_BKR_MIB</v>
      </c>
    </row>
    <row r="29" spans="1:12" x14ac:dyDescent="0.25">
      <c r="A29" t="s">
        <v>309</v>
      </c>
      <c r="B29" t="s">
        <v>16</v>
      </c>
      <c r="C29" t="s">
        <v>1451</v>
      </c>
      <c r="D29" t="s">
        <v>1497</v>
      </c>
      <c r="E29" t="s">
        <v>16</v>
      </c>
      <c r="F29" t="s">
        <v>2758</v>
      </c>
      <c r="G29" t="s">
        <v>2037</v>
      </c>
      <c r="H29" t="s">
        <v>2038</v>
      </c>
      <c r="I29" t="s">
        <v>3306</v>
      </c>
      <c r="J29" t="s">
        <v>3298</v>
      </c>
      <c r="K29" t="s">
        <v>16</v>
      </c>
      <c r="L29" t="str">
        <f t="shared" si="0"/>
        <v>ODP-6B_BKR_MBB</v>
      </c>
    </row>
    <row r="30" spans="1:12" x14ac:dyDescent="0.25">
      <c r="A30" t="s">
        <v>309</v>
      </c>
      <c r="B30" t="s">
        <v>310</v>
      </c>
      <c r="C30" t="s">
        <v>700</v>
      </c>
      <c r="D30" t="s">
        <v>1498</v>
      </c>
      <c r="E30" t="s">
        <v>702</v>
      </c>
      <c r="F30" t="s">
        <v>2759</v>
      </c>
      <c r="G30" t="s">
        <v>2037</v>
      </c>
      <c r="H30" t="s">
        <v>2038</v>
      </c>
      <c r="I30" t="s">
        <v>3306</v>
      </c>
      <c r="J30" t="s">
        <v>3298</v>
      </c>
      <c r="K30" t="s">
        <v>702</v>
      </c>
      <c r="L30" t="str">
        <f t="shared" si="0"/>
        <v>ODP-6B_BKR_FCB1</v>
      </c>
    </row>
    <row r="31" spans="1:12" x14ac:dyDescent="0.25">
      <c r="A31" t="s">
        <v>309</v>
      </c>
      <c r="B31" t="s">
        <v>311</v>
      </c>
      <c r="C31" t="s">
        <v>703</v>
      </c>
      <c r="D31" t="s">
        <v>1499</v>
      </c>
      <c r="E31" t="s">
        <v>705</v>
      </c>
      <c r="F31" t="s">
        <v>2760</v>
      </c>
      <c r="G31" t="s">
        <v>2037</v>
      </c>
      <c r="H31" t="s">
        <v>2038</v>
      </c>
      <c r="I31" t="s">
        <v>3306</v>
      </c>
      <c r="J31" t="s">
        <v>3298</v>
      </c>
      <c r="K31" t="s">
        <v>705</v>
      </c>
      <c r="L31" t="str">
        <f t="shared" si="0"/>
        <v>ODP-6B_BKR_FCB2</v>
      </c>
    </row>
    <row r="32" spans="1:12" x14ac:dyDescent="0.25">
      <c r="A32" t="s">
        <v>309</v>
      </c>
      <c r="B32" t="s">
        <v>312</v>
      </c>
      <c r="C32" t="s">
        <v>706</v>
      </c>
      <c r="D32" t="s">
        <v>1500</v>
      </c>
      <c r="E32" t="s">
        <v>708</v>
      </c>
      <c r="F32" t="s">
        <v>2761</v>
      </c>
      <c r="G32" t="s">
        <v>2037</v>
      </c>
      <c r="H32" t="s">
        <v>2038</v>
      </c>
      <c r="I32" t="s">
        <v>3306</v>
      </c>
      <c r="J32" t="s">
        <v>3298</v>
      </c>
      <c r="K32" t="s">
        <v>708</v>
      </c>
      <c r="L32" t="str">
        <f t="shared" si="0"/>
        <v>ODP-6B_BKR_FCB3</v>
      </c>
    </row>
    <row r="33" spans="1:12" x14ac:dyDescent="0.25">
      <c r="A33" t="s">
        <v>309</v>
      </c>
      <c r="B33" t="s">
        <v>313</v>
      </c>
      <c r="C33" t="s">
        <v>709</v>
      </c>
      <c r="D33" t="s">
        <v>1501</v>
      </c>
      <c r="E33" t="s">
        <v>711</v>
      </c>
      <c r="F33" t="s">
        <v>2762</v>
      </c>
      <c r="G33" t="s">
        <v>2037</v>
      </c>
      <c r="H33" t="s">
        <v>2038</v>
      </c>
      <c r="I33" t="s">
        <v>3306</v>
      </c>
      <c r="J33" t="s">
        <v>3298</v>
      </c>
      <c r="K33" t="s">
        <v>711</v>
      </c>
      <c r="L33" t="str">
        <f t="shared" si="0"/>
        <v>ODP-6B_BKR_FCB4</v>
      </c>
    </row>
    <row r="34" spans="1:12" x14ac:dyDescent="0.25">
      <c r="A34" t="s">
        <v>309</v>
      </c>
      <c r="B34" t="s">
        <v>314</v>
      </c>
      <c r="C34" t="s">
        <v>712</v>
      </c>
      <c r="D34" t="s">
        <v>1502</v>
      </c>
      <c r="E34" t="s">
        <v>714</v>
      </c>
      <c r="F34" t="s">
        <v>2763</v>
      </c>
      <c r="G34" t="s">
        <v>2037</v>
      </c>
      <c r="H34" t="s">
        <v>2038</v>
      </c>
      <c r="I34" t="s">
        <v>3306</v>
      </c>
      <c r="J34" t="s">
        <v>3298</v>
      </c>
      <c r="K34" t="s">
        <v>714</v>
      </c>
      <c r="L34" t="str">
        <f t="shared" si="0"/>
        <v>ODP-6B_BKR_FCB5</v>
      </c>
    </row>
    <row r="35" spans="1:12" x14ac:dyDescent="0.25">
      <c r="A35" t="s">
        <v>309</v>
      </c>
      <c r="B35" t="s">
        <v>315</v>
      </c>
      <c r="C35" t="s">
        <v>715</v>
      </c>
      <c r="D35" t="s">
        <v>1503</v>
      </c>
      <c r="E35" t="s">
        <v>717</v>
      </c>
      <c r="F35" t="s">
        <v>2764</v>
      </c>
      <c r="G35" t="s">
        <v>2037</v>
      </c>
      <c r="H35" t="s">
        <v>2038</v>
      </c>
      <c r="I35" t="s">
        <v>3306</v>
      </c>
      <c r="J35" t="s">
        <v>3298</v>
      </c>
      <c r="K35" t="s">
        <v>717</v>
      </c>
      <c r="L35" t="str">
        <f t="shared" si="0"/>
        <v>ODP-6B_BKR_FCB6</v>
      </c>
    </row>
    <row r="36" spans="1:12" x14ac:dyDescent="0.25">
      <c r="A36" t="s">
        <v>309</v>
      </c>
      <c r="B36" t="s">
        <v>316</v>
      </c>
      <c r="C36" t="s">
        <v>718</v>
      </c>
      <c r="D36" t="s">
        <v>1504</v>
      </c>
      <c r="E36" t="s">
        <v>720</v>
      </c>
      <c r="F36" t="s">
        <v>2765</v>
      </c>
      <c r="G36" t="s">
        <v>2037</v>
      </c>
      <c r="H36" t="s">
        <v>2038</v>
      </c>
      <c r="I36" t="s">
        <v>3306</v>
      </c>
      <c r="J36" t="s">
        <v>3298</v>
      </c>
      <c r="K36" t="s">
        <v>720</v>
      </c>
      <c r="L36" t="str">
        <f t="shared" si="0"/>
        <v>ODP-6B_BKR_FCB7</v>
      </c>
    </row>
    <row r="37" spans="1:12" x14ac:dyDescent="0.25">
      <c r="A37" t="s">
        <v>309</v>
      </c>
      <c r="B37" t="s">
        <v>8</v>
      </c>
      <c r="C37" t="s">
        <v>721</v>
      </c>
      <c r="D37" t="s">
        <v>1505</v>
      </c>
      <c r="E37" t="s">
        <v>645</v>
      </c>
      <c r="F37" t="s">
        <v>2766</v>
      </c>
      <c r="G37" t="s">
        <v>2037</v>
      </c>
      <c r="H37" t="s">
        <v>2038</v>
      </c>
      <c r="I37" t="s">
        <v>3306</v>
      </c>
      <c r="J37" t="s">
        <v>3298</v>
      </c>
      <c r="K37" t="s">
        <v>3301</v>
      </c>
      <c r="L37" t="str">
        <f t="shared" si="0"/>
        <v>ODP-6B_BKR_SPARE-01</v>
      </c>
    </row>
    <row r="38" spans="1:12" x14ac:dyDescent="0.25">
      <c r="A38" t="s">
        <v>309</v>
      </c>
      <c r="B38" t="s">
        <v>8</v>
      </c>
      <c r="C38" t="s">
        <v>723</v>
      </c>
      <c r="D38" t="s">
        <v>1506</v>
      </c>
      <c r="E38" t="s">
        <v>660</v>
      </c>
      <c r="F38" t="s">
        <v>2767</v>
      </c>
      <c r="G38" t="s">
        <v>2037</v>
      </c>
      <c r="H38" t="s">
        <v>2038</v>
      </c>
      <c r="I38" t="s">
        <v>3306</v>
      </c>
      <c r="J38" t="s">
        <v>3298</v>
      </c>
      <c r="K38" t="s">
        <v>3302</v>
      </c>
      <c r="L38" t="str">
        <f t="shared" si="0"/>
        <v>ODP-6B_BKR_SPARE-02</v>
      </c>
    </row>
    <row r="39" spans="1:12" x14ac:dyDescent="0.25">
      <c r="A39" t="s">
        <v>309</v>
      </c>
      <c r="B39" t="s">
        <v>39</v>
      </c>
      <c r="C39" t="s">
        <v>725</v>
      </c>
      <c r="D39" t="s">
        <v>1507</v>
      </c>
      <c r="E39" t="s">
        <v>39</v>
      </c>
      <c r="F39" t="s">
        <v>2768</v>
      </c>
      <c r="G39" t="s">
        <v>2037</v>
      </c>
      <c r="H39" t="s">
        <v>2038</v>
      </c>
      <c r="I39" t="s">
        <v>3306</v>
      </c>
      <c r="J39" t="s">
        <v>3298</v>
      </c>
      <c r="K39" t="s">
        <v>39</v>
      </c>
      <c r="L39" t="str">
        <f t="shared" si="0"/>
        <v>ODP-6B_BKR_AHF</v>
      </c>
    </row>
    <row r="40" spans="1:12" hidden="1" x14ac:dyDescent="0.25">
      <c r="A40" t="s">
        <v>309</v>
      </c>
      <c r="B40" t="s">
        <v>40</v>
      </c>
      <c r="C40" t="s">
        <v>728</v>
      </c>
      <c r="D40" t="s">
        <v>1508</v>
      </c>
      <c r="E40" t="s">
        <v>687</v>
      </c>
      <c r="F40" t="s">
        <v>2769</v>
      </c>
      <c r="G40" t="s">
        <v>2037</v>
      </c>
      <c r="H40" t="s">
        <v>2038</v>
      </c>
      <c r="I40" t="s">
        <v>3306</v>
      </c>
      <c r="J40" t="s">
        <v>3299</v>
      </c>
      <c r="L40" t="str">
        <f t="shared" si="0"/>
        <v>ODP-6B_PQM</v>
      </c>
    </row>
  </sheetData>
  <phoneticPr fontId="1" type="noConversion"/>
  <conditionalFormatting sqref="L2:L40">
    <cfRule type="duplicateValues" dxfId="5" priority="3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83DF-25A6-43ED-AC22-608C75DDCCB1}">
  <dimension ref="A1:L40"/>
  <sheetViews>
    <sheetView topLeftCell="A5" workbookViewId="0">
      <selection activeCell="F2" sqref="F2:F39"/>
    </sheetView>
  </sheetViews>
  <sheetFormatPr defaultRowHeight="15" x14ac:dyDescent="0.25"/>
  <cols>
    <col min="1" max="1" width="25.140625" bestFit="1" customWidth="1"/>
    <col min="2" max="2" width="24.28515625" bestFit="1" customWidth="1"/>
    <col min="3" max="3" width="25.5703125" bestFit="1" customWidth="1"/>
    <col min="4" max="4" width="16.28515625" customWidth="1"/>
    <col min="5" max="5" width="23.28515625" customWidth="1"/>
    <col min="6" max="6" width="13.85546875" bestFit="1" customWidth="1"/>
    <col min="7" max="7" width="12.7109375" bestFit="1" customWidth="1"/>
    <col min="8" max="8" width="11.7109375" bestFit="1" customWidth="1"/>
    <col min="9" max="9" width="7.7109375" customWidth="1"/>
    <col min="10" max="10" width="7.28515625" customWidth="1"/>
    <col min="11" max="11" width="15.28515625" customWidth="1"/>
    <col min="12" max="12" width="29.5703125" customWidth="1"/>
  </cols>
  <sheetData>
    <row r="1" spans="1:12" x14ac:dyDescent="0.25">
      <c r="A1" t="s">
        <v>0</v>
      </c>
      <c r="B1" t="s">
        <v>1</v>
      </c>
      <c r="C1" t="s">
        <v>630</v>
      </c>
      <c r="D1" t="s">
        <v>631</v>
      </c>
      <c r="E1" t="s">
        <v>632</v>
      </c>
      <c r="F1" t="s">
        <v>2035</v>
      </c>
      <c r="G1" t="s">
        <v>2036</v>
      </c>
      <c r="H1" t="s">
        <v>692</v>
      </c>
      <c r="I1" t="s">
        <v>3294</v>
      </c>
      <c r="J1" t="s">
        <v>3295</v>
      </c>
      <c r="K1" t="s">
        <v>3296</v>
      </c>
      <c r="L1" t="s">
        <v>3292</v>
      </c>
    </row>
    <row r="2" spans="1:12" x14ac:dyDescent="0.25">
      <c r="A2" t="s">
        <v>317</v>
      </c>
      <c r="B2" t="s">
        <v>3</v>
      </c>
      <c r="C2" t="s">
        <v>633</v>
      </c>
      <c r="D2" t="s">
        <v>1509</v>
      </c>
      <c r="E2" t="s">
        <v>3</v>
      </c>
      <c r="F2" t="s">
        <v>2770</v>
      </c>
      <c r="G2" t="s">
        <v>2037</v>
      </c>
      <c r="H2" t="s">
        <v>2038</v>
      </c>
      <c r="I2" t="s">
        <v>3307</v>
      </c>
      <c r="J2" t="s">
        <v>3298</v>
      </c>
      <c r="K2" t="s">
        <v>3</v>
      </c>
      <c r="L2" t="str">
        <f>_xlfn.TEXTJOIN("_", TRUE, Table4[[#This Row],[GEAR]:[DESIGNATINO]])</f>
        <v>SW6C_BKR_UCB</v>
      </c>
    </row>
    <row r="3" spans="1:12" hidden="1" x14ac:dyDescent="0.25">
      <c r="A3" t="s">
        <v>317</v>
      </c>
      <c r="B3" t="s">
        <v>27</v>
      </c>
      <c r="C3" t="s">
        <v>688</v>
      </c>
      <c r="D3" t="s">
        <v>1510</v>
      </c>
      <c r="E3" t="s">
        <v>1510</v>
      </c>
      <c r="F3" t="s">
        <v>2771</v>
      </c>
      <c r="G3" t="s">
        <v>2037</v>
      </c>
      <c r="H3" t="s">
        <v>2038</v>
      </c>
      <c r="I3" t="s">
        <v>3309</v>
      </c>
      <c r="L3" t="str">
        <f>_xlfn.TEXTJOIN("_", TRUE, Table4[[#This Row],[GEAR]:[DESIGNATINO]])</f>
        <v>XMFR-6C</v>
      </c>
    </row>
    <row r="4" spans="1:12" x14ac:dyDescent="0.25">
      <c r="A4" t="s">
        <v>318</v>
      </c>
      <c r="B4" t="s">
        <v>5</v>
      </c>
      <c r="C4" t="s">
        <v>1407</v>
      </c>
      <c r="D4" t="s">
        <v>1511</v>
      </c>
      <c r="E4" t="s">
        <v>638</v>
      </c>
      <c r="F4" t="s">
        <v>2772</v>
      </c>
      <c r="G4" t="s">
        <v>2037</v>
      </c>
      <c r="H4" t="s">
        <v>2038</v>
      </c>
      <c r="I4" t="s">
        <v>3307</v>
      </c>
      <c r="J4" t="s">
        <v>3298</v>
      </c>
      <c r="K4" t="s">
        <v>1647</v>
      </c>
      <c r="L4" t="str">
        <f>_xlfn.TEXTJOIN("_", TRUE, Table4[[#This Row],[GEAR]:[DESIGNATINO]])</f>
        <v>SW6C_BKR_MCB-01</v>
      </c>
    </row>
    <row r="5" spans="1:12" x14ac:dyDescent="0.25">
      <c r="A5" t="s">
        <v>318</v>
      </c>
      <c r="B5" t="s">
        <v>125</v>
      </c>
      <c r="C5" t="s">
        <v>1409</v>
      </c>
      <c r="D5" t="s">
        <v>1512</v>
      </c>
      <c r="E5" t="s">
        <v>1100</v>
      </c>
      <c r="F5" t="s">
        <v>2773</v>
      </c>
      <c r="G5" t="s">
        <v>2037</v>
      </c>
      <c r="H5" t="s">
        <v>2038</v>
      </c>
      <c r="I5" t="s">
        <v>3307</v>
      </c>
      <c r="J5" t="s">
        <v>3298</v>
      </c>
      <c r="K5" t="s">
        <v>3305</v>
      </c>
      <c r="L5" t="str">
        <f>_xlfn.TEXTJOIN("_", TRUE, Table4[[#This Row],[GEAR]:[DESIGNATINO]])</f>
        <v>SW6C_BKR_MCB-02</v>
      </c>
    </row>
    <row r="6" spans="1:12" x14ac:dyDescent="0.25">
      <c r="A6" t="s">
        <v>319</v>
      </c>
      <c r="B6" t="s">
        <v>320</v>
      </c>
      <c r="C6" t="s">
        <v>1411</v>
      </c>
      <c r="D6" t="s">
        <v>1513</v>
      </c>
      <c r="E6" t="s">
        <v>320</v>
      </c>
      <c r="F6" t="s">
        <v>2774</v>
      </c>
      <c r="G6" t="s">
        <v>2037</v>
      </c>
      <c r="H6" t="s">
        <v>2038</v>
      </c>
      <c r="I6" t="s">
        <v>3307</v>
      </c>
      <c r="J6" t="s">
        <v>3298</v>
      </c>
      <c r="K6" t="s">
        <v>320</v>
      </c>
      <c r="L6" t="str">
        <f>_xlfn.TEXTJOIN("_", TRUE, Table4[[#This Row],[GEAR]:[DESIGNATINO]])</f>
        <v>SW6C_BKR_DP-6C-1</v>
      </c>
    </row>
    <row r="7" spans="1:12" x14ac:dyDescent="0.25">
      <c r="A7" t="s">
        <v>319</v>
      </c>
      <c r="B7" t="s">
        <v>321</v>
      </c>
      <c r="C7" t="s">
        <v>1413</v>
      </c>
      <c r="D7" t="s">
        <v>1514</v>
      </c>
      <c r="E7" t="s">
        <v>321</v>
      </c>
      <c r="F7" t="s">
        <v>2775</v>
      </c>
      <c r="G7" t="s">
        <v>2037</v>
      </c>
      <c r="H7" t="s">
        <v>2038</v>
      </c>
      <c r="I7" t="s">
        <v>3307</v>
      </c>
      <c r="J7" t="s">
        <v>3298</v>
      </c>
      <c r="K7" t="s">
        <v>321</v>
      </c>
      <c r="L7" t="str">
        <f>_xlfn.TEXTJOIN("_", TRUE, Table4[[#This Row],[GEAR]:[DESIGNATINO]])</f>
        <v>SW6C_BKR_DP-6C-2</v>
      </c>
    </row>
    <row r="8" spans="1:12" x14ac:dyDescent="0.25">
      <c r="A8" t="s">
        <v>318</v>
      </c>
      <c r="B8" t="s">
        <v>8</v>
      </c>
      <c r="C8" t="s">
        <v>643</v>
      </c>
      <c r="D8" t="s">
        <v>1515</v>
      </c>
      <c r="E8" t="s">
        <v>8</v>
      </c>
      <c r="F8" t="s">
        <v>2776</v>
      </c>
      <c r="G8" t="s">
        <v>2037</v>
      </c>
      <c r="H8" t="s">
        <v>2038</v>
      </c>
      <c r="I8" t="s">
        <v>3307</v>
      </c>
      <c r="J8" t="s">
        <v>3298</v>
      </c>
      <c r="K8" t="s">
        <v>3301</v>
      </c>
      <c r="L8" t="str">
        <f>_xlfn.TEXTJOIN("_", TRUE, Table4[[#This Row],[GEAR]:[DESIGNATINO]])</f>
        <v>SW6C_BKR_SPARE-01</v>
      </c>
    </row>
    <row r="9" spans="1:12" x14ac:dyDescent="0.25">
      <c r="A9" t="s">
        <v>318</v>
      </c>
      <c r="B9" t="s">
        <v>322</v>
      </c>
      <c r="C9" t="s">
        <v>648</v>
      </c>
      <c r="D9" t="s">
        <v>1516</v>
      </c>
      <c r="E9" t="s">
        <v>322</v>
      </c>
      <c r="F9" t="s">
        <v>2778</v>
      </c>
      <c r="G9" t="s">
        <v>2037</v>
      </c>
      <c r="H9" t="s">
        <v>2038</v>
      </c>
      <c r="I9" t="s">
        <v>3307</v>
      </c>
      <c r="J9" t="s">
        <v>3298</v>
      </c>
      <c r="K9" t="s">
        <v>322</v>
      </c>
      <c r="L9" t="str">
        <f>_xlfn.TEXTJOIN("_", TRUE, Table4[[#This Row],[GEAR]:[DESIGNATINO]])</f>
        <v>SW6C_BKR_CH-6C</v>
      </c>
    </row>
    <row r="10" spans="1:12" x14ac:dyDescent="0.25">
      <c r="A10" t="s">
        <v>318</v>
      </c>
      <c r="B10" t="s">
        <v>11</v>
      </c>
      <c r="C10" t="s">
        <v>650</v>
      </c>
      <c r="D10" t="s">
        <v>1517</v>
      </c>
      <c r="E10" t="s">
        <v>652</v>
      </c>
      <c r="F10" t="s">
        <v>2779</v>
      </c>
      <c r="G10" t="s">
        <v>2037</v>
      </c>
      <c r="H10" t="s">
        <v>2038</v>
      </c>
      <c r="I10" t="s">
        <v>3307</v>
      </c>
      <c r="J10" t="s">
        <v>3298</v>
      </c>
      <c r="K10" t="s">
        <v>11</v>
      </c>
      <c r="L10" t="str">
        <f>_xlfn.TEXTJOIN("_", TRUE, Table4[[#This Row],[GEAR]:[DESIGNATINO]])</f>
        <v>SW6C_BKR_MUPS-RIB</v>
      </c>
    </row>
    <row r="11" spans="1:12" x14ac:dyDescent="0.25">
      <c r="A11" t="s">
        <v>319</v>
      </c>
      <c r="B11" t="s">
        <v>12</v>
      </c>
      <c r="C11" t="s">
        <v>653</v>
      </c>
      <c r="D11" t="s">
        <v>1518</v>
      </c>
      <c r="E11" t="s">
        <v>655</v>
      </c>
      <c r="F11" t="s">
        <v>2780</v>
      </c>
      <c r="G11" t="s">
        <v>2037</v>
      </c>
      <c r="H11" t="s">
        <v>2038</v>
      </c>
      <c r="I11" t="s">
        <v>3307</v>
      </c>
      <c r="J11" t="s">
        <v>3298</v>
      </c>
      <c r="K11" t="s">
        <v>12</v>
      </c>
      <c r="L11" t="str">
        <f>_xlfn.TEXTJOIN("_", TRUE, Table4[[#This Row],[GEAR]:[DESIGNATINO]])</f>
        <v>SW6C_BKR_MUPS-BIB</v>
      </c>
    </row>
    <row r="12" spans="1:12" x14ac:dyDescent="0.25">
      <c r="A12" t="s">
        <v>318</v>
      </c>
      <c r="B12" t="s">
        <v>323</v>
      </c>
      <c r="C12" t="s">
        <v>1419</v>
      </c>
      <c r="D12" t="s">
        <v>1519</v>
      </c>
      <c r="E12" t="s">
        <v>323</v>
      </c>
      <c r="F12" t="s">
        <v>2781</v>
      </c>
      <c r="G12" t="s">
        <v>2037</v>
      </c>
      <c r="H12" t="s">
        <v>2038</v>
      </c>
      <c r="I12" t="s">
        <v>3307</v>
      </c>
      <c r="J12" t="s">
        <v>3298</v>
      </c>
      <c r="K12" t="s">
        <v>323</v>
      </c>
      <c r="L12" t="str">
        <f>_xlfn.TEXTJOIN("_", TRUE, Table4[[#This Row],[GEAR]:[DESIGNATINO]])</f>
        <v>SW6C_BKR_UPS-6C-1</v>
      </c>
    </row>
    <row r="13" spans="1:12" x14ac:dyDescent="0.25">
      <c r="A13" t="s">
        <v>319</v>
      </c>
      <c r="B13" t="s">
        <v>8</v>
      </c>
      <c r="C13" t="s">
        <v>8</v>
      </c>
      <c r="D13" t="s">
        <v>1520</v>
      </c>
      <c r="E13" t="s">
        <v>8</v>
      </c>
      <c r="F13" t="s">
        <v>2782</v>
      </c>
      <c r="G13" t="s">
        <v>2037</v>
      </c>
      <c r="H13" t="s">
        <v>2038</v>
      </c>
      <c r="I13" t="s">
        <v>3307</v>
      </c>
      <c r="J13" t="s">
        <v>3298</v>
      </c>
      <c r="K13" t="s">
        <v>3302</v>
      </c>
      <c r="L13" t="str">
        <f>_xlfn.TEXTJOIN("_", TRUE, Table4[[#This Row],[GEAR]:[DESIGNATINO]])</f>
        <v>SW6C_BKR_SPARE-02</v>
      </c>
    </row>
    <row r="14" spans="1:12" hidden="1" x14ac:dyDescent="0.25">
      <c r="A14" t="s">
        <v>318</v>
      </c>
      <c r="B14" t="s">
        <v>14</v>
      </c>
      <c r="C14" t="s">
        <v>1112</v>
      </c>
      <c r="D14" t="s">
        <v>1521</v>
      </c>
      <c r="E14" t="s">
        <v>1423</v>
      </c>
      <c r="F14" t="s">
        <v>2783</v>
      </c>
      <c r="G14" t="s">
        <v>2037</v>
      </c>
      <c r="H14" t="s">
        <v>2038</v>
      </c>
      <c r="I14" t="s">
        <v>3307</v>
      </c>
      <c r="J14" t="s">
        <v>3299</v>
      </c>
      <c r="L14" t="str">
        <f>_xlfn.TEXTJOIN("_", TRUE, Table4[[#This Row],[GEAR]:[DESIGNATINO]])</f>
        <v>SW6C_PQM</v>
      </c>
    </row>
    <row r="15" spans="1:12" x14ac:dyDescent="0.25">
      <c r="A15" t="s">
        <v>319</v>
      </c>
      <c r="B15" t="s">
        <v>16</v>
      </c>
      <c r="C15" t="s">
        <v>664</v>
      </c>
      <c r="D15" t="s">
        <v>1528</v>
      </c>
      <c r="E15" t="s">
        <v>16</v>
      </c>
      <c r="F15" t="s">
        <v>2784</v>
      </c>
      <c r="G15" t="s">
        <v>2037</v>
      </c>
      <c r="H15" t="s">
        <v>2038</v>
      </c>
      <c r="I15" t="s">
        <v>3308</v>
      </c>
      <c r="J15" t="s">
        <v>3298</v>
      </c>
      <c r="K15" t="s">
        <v>16</v>
      </c>
      <c r="L15" t="str">
        <f>_xlfn.TEXTJOIN("_", TRUE, Table4[[#This Row],[GEAR]:[DESIGNATINO]])</f>
        <v>UP6C_BKR_MBB</v>
      </c>
    </row>
    <row r="16" spans="1:12" x14ac:dyDescent="0.25">
      <c r="A16" t="s">
        <v>319</v>
      </c>
      <c r="B16" t="s">
        <v>17</v>
      </c>
      <c r="C16" t="s">
        <v>666</v>
      </c>
      <c r="D16" t="s">
        <v>1529</v>
      </c>
      <c r="E16" t="s">
        <v>17</v>
      </c>
      <c r="F16" t="s">
        <v>2785</v>
      </c>
      <c r="G16" t="s">
        <v>2037</v>
      </c>
      <c r="H16" t="s">
        <v>2038</v>
      </c>
      <c r="I16" t="s">
        <v>3308</v>
      </c>
      <c r="J16" t="s">
        <v>3298</v>
      </c>
      <c r="K16" t="s">
        <v>17</v>
      </c>
      <c r="L16" t="str">
        <f>_xlfn.TEXTJOIN("_", TRUE, Table4[[#This Row],[GEAR]:[DESIGNATINO]])</f>
        <v>UP6C_BKR_MIB</v>
      </c>
    </row>
    <row r="17" spans="1:12" x14ac:dyDescent="0.25">
      <c r="A17" t="s">
        <v>319</v>
      </c>
      <c r="B17" t="s">
        <v>324</v>
      </c>
      <c r="C17" t="s">
        <v>668</v>
      </c>
      <c r="D17" t="s">
        <v>1530</v>
      </c>
      <c r="E17" t="s">
        <v>670</v>
      </c>
      <c r="F17" t="s">
        <v>2786</v>
      </c>
      <c r="G17" t="s">
        <v>2037</v>
      </c>
      <c r="H17" t="s">
        <v>2038</v>
      </c>
      <c r="I17" t="s">
        <v>3308</v>
      </c>
      <c r="J17" t="s">
        <v>3298</v>
      </c>
      <c r="K17" t="s">
        <v>670</v>
      </c>
      <c r="L17" t="str">
        <f>_xlfn.TEXTJOIN("_", TRUE, Table4[[#This Row],[GEAR]:[DESIGNATINO]])</f>
        <v>UP6C_BKR_UP</v>
      </c>
    </row>
    <row r="18" spans="1:12" x14ac:dyDescent="0.25">
      <c r="A18" t="s">
        <v>319</v>
      </c>
      <c r="B18" t="s">
        <v>8</v>
      </c>
      <c r="C18" t="s">
        <v>1433</v>
      </c>
      <c r="D18" t="s">
        <v>1531</v>
      </c>
      <c r="E18" t="s">
        <v>8</v>
      </c>
      <c r="F18" t="s">
        <v>2787</v>
      </c>
      <c r="G18" t="s">
        <v>2037</v>
      </c>
      <c r="H18" t="s">
        <v>2038</v>
      </c>
      <c r="I18" t="s">
        <v>3308</v>
      </c>
      <c r="J18" t="s">
        <v>3298</v>
      </c>
      <c r="K18" t="s">
        <v>8</v>
      </c>
      <c r="L18" t="str">
        <f>_xlfn.TEXTJOIN("_", TRUE, Table4[[#This Row],[GEAR]:[DESIGNATINO]])</f>
        <v>UP6C_BKR_SPARE</v>
      </c>
    </row>
    <row r="19" spans="1:12" x14ac:dyDescent="0.25">
      <c r="A19" t="s">
        <v>319</v>
      </c>
      <c r="B19" t="s">
        <v>325</v>
      </c>
      <c r="C19" t="s">
        <v>1435</v>
      </c>
      <c r="D19" t="s">
        <v>1532</v>
      </c>
      <c r="E19" t="s">
        <v>325</v>
      </c>
      <c r="F19" t="s">
        <v>2788</v>
      </c>
      <c r="G19" t="s">
        <v>2037</v>
      </c>
      <c r="H19" t="s">
        <v>2038</v>
      </c>
      <c r="I19" t="s">
        <v>3308</v>
      </c>
      <c r="J19" t="s">
        <v>3298</v>
      </c>
      <c r="K19" t="s">
        <v>325</v>
      </c>
      <c r="L19" t="str">
        <f>_xlfn.TEXTJOIN("_", TRUE, Table4[[#This Row],[GEAR]:[DESIGNATINO]])</f>
        <v>UP6C_BKR_BUS-6C-1</v>
      </c>
    </row>
    <row r="20" spans="1:12" x14ac:dyDescent="0.25">
      <c r="A20" t="s">
        <v>319</v>
      </c>
      <c r="B20" t="s">
        <v>326</v>
      </c>
      <c r="C20" t="s">
        <v>1437</v>
      </c>
      <c r="D20" t="s">
        <v>1533</v>
      </c>
      <c r="E20" t="s">
        <v>326</v>
      </c>
      <c r="F20" t="s">
        <v>2789</v>
      </c>
      <c r="G20" t="s">
        <v>2037</v>
      </c>
      <c r="H20" t="s">
        <v>2038</v>
      </c>
      <c r="I20" t="s">
        <v>3308</v>
      </c>
      <c r="J20" t="s">
        <v>3298</v>
      </c>
      <c r="K20" t="s">
        <v>326</v>
      </c>
      <c r="L20" t="str">
        <f>_xlfn.TEXTJOIN("_", TRUE, Table4[[#This Row],[GEAR]:[DESIGNATINO]])</f>
        <v>UP6C_BKR_BUS-6C-2</v>
      </c>
    </row>
    <row r="21" spans="1:12" x14ac:dyDescent="0.25">
      <c r="A21" t="s">
        <v>319</v>
      </c>
      <c r="B21" t="s">
        <v>327</v>
      </c>
      <c r="C21" t="s">
        <v>1439</v>
      </c>
      <c r="D21" t="s">
        <v>1534</v>
      </c>
      <c r="E21" t="s">
        <v>327</v>
      </c>
      <c r="F21" t="s">
        <v>2790</v>
      </c>
      <c r="G21" t="s">
        <v>2037</v>
      </c>
      <c r="H21" t="s">
        <v>2038</v>
      </c>
      <c r="I21" t="s">
        <v>3308</v>
      </c>
      <c r="J21" t="s">
        <v>3298</v>
      </c>
      <c r="K21" t="s">
        <v>327</v>
      </c>
      <c r="L21" t="str">
        <f>_xlfn.TEXTJOIN("_", TRUE, Table4[[#This Row],[GEAR]:[DESIGNATINO]])</f>
        <v>UP6C_BKR_BUS-6C-3</v>
      </c>
    </row>
    <row r="22" spans="1:12" x14ac:dyDescent="0.25">
      <c r="A22" t="s">
        <v>319</v>
      </c>
      <c r="B22" t="s">
        <v>328</v>
      </c>
      <c r="C22" t="s">
        <v>1441</v>
      </c>
      <c r="D22" t="s">
        <v>1535</v>
      </c>
      <c r="E22" t="s">
        <v>328</v>
      </c>
      <c r="F22" t="s">
        <v>2791</v>
      </c>
      <c r="G22" t="s">
        <v>2037</v>
      </c>
      <c r="H22" t="s">
        <v>2038</v>
      </c>
      <c r="I22" t="s">
        <v>3308</v>
      </c>
      <c r="J22" t="s">
        <v>3298</v>
      </c>
      <c r="K22" t="s">
        <v>328</v>
      </c>
      <c r="L22" t="str">
        <f>_xlfn.TEXTJOIN("_", TRUE, Table4[[#This Row],[GEAR]:[DESIGNATINO]])</f>
        <v>UP6C_BKR_BUS-6C-4</v>
      </c>
    </row>
    <row r="23" spans="1:12" x14ac:dyDescent="0.25">
      <c r="A23" t="s">
        <v>319</v>
      </c>
      <c r="B23" t="s">
        <v>329</v>
      </c>
      <c r="C23" t="s">
        <v>671</v>
      </c>
      <c r="D23" t="s">
        <v>1536</v>
      </c>
      <c r="E23" t="s">
        <v>329</v>
      </c>
      <c r="F23" t="s">
        <v>2792</v>
      </c>
      <c r="G23" t="s">
        <v>2037</v>
      </c>
      <c r="H23" t="s">
        <v>2038</v>
      </c>
      <c r="I23" t="s">
        <v>3308</v>
      </c>
      <c r="J23" t="s">
        <v>3298</v>
      </c>
      <c r="K23" t="s">
        <v>329</v>
      </c>
      <c r="L23" t="str">
        <f>_xlfn.TEXTJOIN("_", TRUE, Table4[[#This Row],[GEAR]:[DESIGNATINO]])</f>
        <v>UP6C_BKR_BUS-6C-5</v>
      </c>
    </row>
    <row r="24" spans="1:12" x14ac:dyDescent="0.25">
      <c r="A24" t="s">
        <v>319</v>
      </c>
      <c r="B24" t="s">
        <v>8</v>
      </c>
      <c r="C24" t="s">
        <v>671</v>
      </c>
      <c r="D24" t="s">
        <v>1537</v>
      </c>
      <c r="E24" t="s">
        <v>1538</v>
      </c>
      <c r="F24" t="s">
        <v>2793</v>
      </c>
      <c r="G24" t="s">
        <v>2037</v>
      </c>
      <c r="H24" t="s">
        <v>2038</v>
      </c>
      <c r="I24" t="s">
        <v>3308</v>
      </c>
      <c r="J24" t="s">
        <v>3298</v>
      </c>
      <c r="K24" t="s">
        <v>1538</v>
      </c>
      <c r="L24" t="str">
        <f>_xlfn.TEXTJOIN("_", TRUE, Table4[[#This Row],[GEAR]:[DESIGNATINO]])</f>
        <v>UP6C_BKR_BUS-6C-6</v>
      </c>
    </row>
    <row r="25" spans="1:12" x14ac:dyDescent="0.25">
      <c r="A25" t="s">
        <v>319</v>
      </c>
      <c r="B25" t="s">
        <v>330</v>
      </c>
      <c r="C25" t="s">
        <v>1445</v>
      </c>
      <c r="D25" t="s">
        <v>1539</v>
      </c>
      <c r="E25" t="s">
        <v>330</v>
      </c>
      <c r="F25" t="s">
        <v>2794</v>
      </c>
      <c r="G25" t="s">
        <v>2037</v>
      </c>
      <c r="H25" t="s">
        <v>2038</v>
      </c>
      <c r="I25" t="s">
        <v>3308</v>
      </c>
      <c r="J25" t="s">
        <v>3298</v>
      </c>
      <c r="K25" t="s">
        <v>330</v>
      </c>
      <c r="L25" t="str">
        <f>_xlfn.TEXTJOIN("_", TRUE, Table4[[#This Row],[GEAR]:[DESIGNATINO]])</f>
        <v>UP6C_BKR_UOB-6C-1</v>
      </c>
    </row>
    <row r="26" spans="1:12" hidden="1" x14ac:dyDescent="0.25">
      <c r="A26" t="s">
        <v>319</v>
      </c>
      <c r="B26" t="s">
        <v>26</v>
      </c>
      <c r="C26" t="s">
        <v>1135</v>
      </c>
      <c r="D26" t="s">
        <v>1540</v>
      </c>
      <c r="E26" t="s">
        <v>687</v>
      </c>
      <c r="F26" t="s">
        <v>2795</v>
      </c>
      <c r="G26" t="s">
        <v>2037</v>
      </c>
      <c r="H26" t="s">
        <v>2038</v>
      </c>
      <c r="I26" t="s">
        <v>3308</v>
      </c>
      <c r="J26" t="s">
        <v>3299</v>
      </c>
      <c r="L26" t="str">
        <f>_xlfn.TEXTJOIN("_", TRUE, Table4[[#This Row],[GEAR]:[DESIGNATINO]])</f>
        <v>UP6C_PQM</v>
      </c>
    </row>
    <row r="27" spans="1:12" x14ac:dyDescent="0.25">
      <c r="A27" t="s">
        <v>331</v>
      </c>
      <c r="B27" t="s">
        <v>31</v>
      </c>
      <c r="C27" t="s">
        <v>694</v>
      </c>
      <c r="D27" t="s">
        <v>1541</v>
      </c>
      <c r="E27" t="s">
        <v>31</v>
      </c>
      <c r="F27" t="s">
        <v>2798</v>
      </c>
      <c r="G27" t="s">
        <v>2037</v>
      </c>
      <c r="H27" t="s">
        <v>2038</v>
      </c>
      <c r="I27" t="s">
        <v>3310</v>
      </c>
      <c r="J27" t="s">
        <v>3298</v>
      </c>
      <c r="K27" t="s">
        <v>31</v>
      </c>
      <c r="L27" t="str">
        <f>_xlfn.TEXTJOIN("_", TRUE, Table4[[#This Row],[GEAR]:[DESIGNATINO]])</f>
        <v>ODP-6C_BKR_UOB</v>
      </c>
    </row>
    <row r="28" spans="1:12" x14ac:dyDescent="0.25">
      <c r="A28" t="s">
        <v>331</v>
      </c>
      <c r="B28" t="s">
        <v>17</v>
      </c>
      <c r="C28" t="s">
        <v>1449</v>
      </c>
      <c r="D28" t="s">
        <v>1542</v>
      </c>
      <c r="E28" t="s">
        <v>17</v>
      </c>
      <c r="F28" t="s">
        <v>2799</v>
      </c>
      <c r="G28" t="s">
        <v>2037</v>
      </c>
      <c r="H28" t="s">
        <v>2038</v>
      </c>
      <c r="I28" t="s">
        <v>3310</v>
      </c>
      <c r="J28" t="s">
        <v>3298</v>
      </c>
      <c r="K28" t="s">
        <v>17</v>
      </c>
      <c r="L28" t="str">
        <f>_xlfn.TEXTJOIN("_", TRUE, Table4[[#This Row],[GEAR]:[DESIGNATINO]])</f>
        <v>ODP-6C_BKR_MIB</v>
      </c>
    </row>
    <row r="29" spans="1:12" x14ac:dyDescent="0.25">
      <c r="A29" t="s">
        <v>331</v>
      </c>
      <c r="B29" t="s">
        <v>16</v>
      </c>
      <c r="C29" t="s">
        <v>1451</v>
      </c>
      <c r="D29" t="s">
        <v>1543</v>
      </c>
      <c r="E29" t="s">
        <v>16</v>
      </c>
      <c r="F29" t="s">
        <v>2800</v>
      </c>
      <c r="G29" t="s">
        <v>2037</v>
      </c>
      <c r="H29" t="s">
        <v>2038</v>
      </c>
      <c r="I29" t="s">
        <v>3310</v>
      </c>
      <c r="J29" t="s">
        <v>3298</v>
      </c>
      <c r="K29" t="s">
        <v>16</v>
      </c>
      <c r="L29" t="str">
        <f>_xlfn.TEXTJOIN("_", TRUE, Table4[[#This Row],[GEAR]:[DESIGNATINO]])</f>
        <v>ODP-6C_BKR_MBB</v>
      </c>
    </row>
    <row r="30" spans="1:12" x14ac:dyDescent="0.25">
      <c r="A30" t="s">
        <v>331</v>
      </c>
      <c r="B30" t="s">
        <v>332</v>
      </c>
      <c r="C30" t="s">
        <v>700</v>
      </c>
      <c r="D30" t="s">
        <v>1544</v>
      </c>
      <c r="E30" t="s">
        <v>702</v>
      </c>
      <c r="F30" t="s">
        <v>2801</v>
      </c>
      <c r="G30" t="s">
        <v>2037</v>
      </c>
      <c r="H30" t="s">
        <v>2038</v>
      </c>
      <c r="I30" t="s">
        <v>3310</v>
      </c>
      <c r="J30" t="s">
        <v>3298</v>
      </c>
      <c r="K30" t="s">
        <v>702</v>
      </c>
      <c r="L30" t="str">
        <f>_xlfn.TEXTJOIN("_", TRUE, Table4[[#This Row],[GEAR]:[DESIGNATINO]])</f>
        <v>ODP-6C_BKR_FCB1</v>
      </c>
    </row>
    <row r="31" spans="1:12" x14ac:dyDescent="0.25">
      <c r="A31" t="s">
        <v>331</v>
      </c>
      <c r="B31" t="s">
        <v>333</v>
      </c>
      <c r="C31" t="s">
        <v>703</v>
      </c>
      <c r="D31" t="s">
        <v>1545</v>
      </c>
      <c r="E31" t="s">
        <v>705</v>
      </c>
      <c r="F31" t="s">
        <v>2802</v>
      </c>
      <c r="G31" t="s">
        <v>2037</v>
      </c>
      <c r="H31" t="s">
        <v>2038</v>
      </c>
      <c r="I31" t="s">
        <v>3310</v>
      </c>
      <c r="J31" t="s">
        <v>3298</v>
      </c>
      <c r="K31" t="s">
        <v>705</v>
      </c>
      <c r="L31" t="str">
        <f>_xlfn.TEXTJOIN("_", TRUE, Table4[[#This Row],[GEAR]:[DESIGNATINO]])</f>
        <v>ODP-6C_BKR_FCB2</v>
      </c>
    </row>
    <row r="32" spans="1:12" x14ac:dyDescent="0.25">
      <c r="A32" t="s">
        <v>331</v>
      </c>
      <c r="B32" t="s">
        <v>334</v>
      </c>
      <c r="C32" t="s">
        <v>706</v>
      </c>
      <c r="D32" t="s">
        <v>1546</v>
      </c>
      <c r="E32" t="s">
        <v>708</v>
      </c>
      <c r="F32" t="s">
        <v>2803</v>
      </c>
      <c r="G32" t="s">
        <v>2037</v>
      </c>
      <c r="H32" t="s">
        <v>2038</v>
      </c>
      <c r="I32" t="s">
        <v>3310</v>
      </c>
      <c r="J32" t="s">
        <v>3298</v>
      </c>
      <c r="K32" t="s">
        <v>708</v>
      </c>
      <c r="L32" t="str">
        <f>_xlfn.TEXTJOIN("_", TRUE, Table4[[#This Row],[GEAR]:[DESIGNATINO]])</f>
        <v>ODP-6C_BKR_FCB3</v>
      </c>
    </row>
    <row r="33" spans="1:12" x14ac:dyDescent="0.25">
      <c r="A33" t="s">
        <v>331</v>
      </c>
      <c r="B33" t="s">
        <v>335</v>
      </c>
      <c r="C33" t="s">
        <v>709</v>
      </c>
      <c r="D33" t="s">
        <v>1547</v>
      </c>
      <c r="E33" t="s">
        <v>711</v>
      </c>
      <c r="F33" t="s">
        <v>2804</v>
      </c>
      <c r="G33" t="s">
        <v>2037</v>
      </c>
      <c r="H33" t="s">
        <v>2038</v>
      </c>
      <c r="I33" t="s">
        <v>3310</v>
      </c>
      <c r="J33" t="s">
        <v>3298</v>
      </c>
      <c r="K33" t="s">
        <v>711</v>
      </c>
      <c r="L33" t="str">
        <f>_xlfn.TEXTJOIN("_", TRUE, Table4[[#This Row],[GEAR]:[DESIGNATINO]])</f>
        <v>ODP-6C_BKR_FCB4</v>
      </c>
    </row>
    <row r="34" spans="1:12" x14ac:dyDescent="0.25">
      <c r="A34" t="s">
        <v>331</v>
      </c>
      <c r="B34" t="s">
        <v>336</v>
      </c>
      <c r="C34" t="s">
        <v>712</v>
      </c>
      <c r="D34" t="s">
        <v>1548</v>
      </c>
      <c r="E34" t="s">
        <v>714</v>
      </c>
      <c r="F34" t="s">
        <v>2805</v>
      </c>
      <c r="G34" t="s">
        <v>2037</v>
      </c>
      <c r="H34" t="s">
        <v>2038</v>
      </c>
      <c r="I34" t="s">
        <v>3310</v>
      </c>
      <c r="J34" t="s">
        <v>3298</v>
      </c>
      <c r="K34" t="s">
        <v>714</v>
      </c>
      <c r="L34" t="str">
        <f>_xlfn.TEXTJOIN("_", TRUE, Table4[[#This Row],[GEAR]:[DESIGNATINO]])</f>
        <v>ODP-6C_BKR_FCB5</v>
      </c>
    </row>
    <row r="35" spans="1:12" x14ac:dyDescent="0.25">
      <c r="A35" t="s">
        <v>331</v>
      </c>
      <c r="B35" t="s">
        <v>337</v>
      </c>
      <c r="C35" t="s">
        <v>715</v>
      </c>
      <c r="D35" t="s">
        <v>1549</v>
      </c>
      <c r="E35" t="s">
        <v>717</v>
      </c>
      <c r="F35" t="s">
        <v>2806</v>
      </c>
      <c r="G35" t="s">
        <v>2037</v>
      </c>
      <c r="H35" t="s">
        <v>2038</v>
      </c>
      <c r="I35" t="s">
        <v>3310</v>
      </c>
      <c r="J35" t="s">
        <v>3298</v>
      </c>
      <c r="K35" t="s">
        <v>717</v>
      </c>
      <c r="L35" t="str">
        <f>_xlfn.TEXTJOIN("_", TRUE, Table4[[#This Row],[GEAR]:[DESIGNATINO]])</f>
        <v>ODP-6C_BKR_FCB6</v>
      </c>
    </row>
    <row r="36" spans="1:12" x14ac:dyDescent="0.25">
      <c r="A36" t="s">
        <v>331</v>
      </c>
      <c r="B36" t="s">
        <v>338</v>
      </c>
      <c r="C36" t="s">
        <v>718</v>
      </c>
      <c r="D36" t="s">
        <v>1550</v>
      </c>
      <c r="E36" t="s">
        <v>720</v>
      </c>
      <c r="F36" t="s">
        <v>2807</v>
      </c>
      <c r="G36" t="s">
        <v>2037</v>
      </c>
      <c r="H36" t="s">
        <v>2038</v>
      </c>
      <c r="I36" t="s">
        <v>3310</v>
      </c>
      <c r="J36" t="s">
        <v>3298</v>
      </c>
      <c r="K36" t="s">
        <v>720</v>
      </c>
      <c r="L36" t="str">
        <f>_xlfn.TEXTJOIN("_", TRUE, Table4[[#This Row],[GEAR]:[DESIGNATINO]])</f>
        <v>ODP-6C_BKR_FCB7</v>
      </c>
    </row>
    <row r="37" spans="1:12" x14ac:dyDescent="0.25">
      <c r="A37" t="s">
        <v>331</v>
      </c>
      <c r="B37" t="s">
        <v>8</v>
      </c>
      <c r="C37" t="s">
        <v>721</v>
      </c>
      <c r="D37" t="s">
        <v>1551</v>
      </c>
      <c r="E37" t="s">
        <v>645</v>
      </c>
      <c r="F37" t="s">
        <v>2808</v>
      </c>
      <c r="G37" t="s">
        <v>2037</v>
      </c>
      <c r="H37" t="s">
        <v>2038</v>
      </c>
      <c r="I37" t="s">
        <v>3310</v>
      </c>
      <c r="J37" t="s">
        <v>3298</v>
      </c>
      <c r="K37" t="s">
        <v>3301</v>
      </c>
      <c r="L37" t="str">
        <f>_xlfn.TEXTJOIN("_", TRUE, Table4[[#This Row],[GEAR]:[DESIGNATINO]])</f>
        <v>ODP-6C_BKR_SPARE-01</v>
      </c>
    </row>
    <row r="38" spans="1:12" x14ac:dyDescent="0.25">
      <c r="A38" t="s">
        <v>331</v>
      </c>
      <c r="B38" t="s">
        <v>8</v>
      </c>
      <c r="C38" t="s">
        <v>723</v>
      </c>
      <c r="D38" t="s">
        <v>1552</v>
      </c>
      <c r="E38" t="s">
        <v>660</v>
      </c>
      <c r="F38" t="s">
        <v>2809</v>
      </c>
      <c r="G38" t="s">
        <v>2037</v>
      </c>
      <c r="H38" t="s">
        <v>2038</v>
      </c>
      <c r="I38" t="s">
        <v>3310</v>
      </c>
      <c r="J38" t="s">
        <v>3298</v>
      </c>
      <c r="K38" t="s">
        <v>3302</v>
      </c>
      <c r="L38" t="str">
        <f>_xlfn.TEXTJOIN("_", TRUE, Table4[[#This Row],[GEAR]:[DESIGNATINO]])</f>
        <v>ODP-6C_BKR_SPARE-02</v>
      </c>
    </row>
    <row r="39" spans="1:12" x14ac:dyDescent="0.25">
      <c r="A39" t="s">
        <v>331</v>
      </c>
      <c r="B39" t="s">
        <v>39</v>
      </c>
      <c r="C39" t="s">
        <v>725</v>
      </c>
      <c r="D39" t="s">
        <v>1553</v>
      </c>
      <c r="E39" t="s">
        <v>39</v>
      </c>
      <c r="F39" t="s">
        <v>2810</v>
      </c>
      <c r="G39" t="s">
        <v>2037</v>
      </c>
      <c r="H39" t="s">
        <v>2038</v>
      </c>
      <c r="I39" t="s">
        <v>3310</v>
      </c>
      <c r="J39" t="s">
        <v>3298</v>
      </c>
      <c r="K39" t="s">
        <v>39</v>
      </c>
      <c r="L39" t="str">
        <f>_xlfn.TEXTJOIN("_", TRUE, Table4[[#This Row],[GEAR]:[DESIGNATINO]])</f>
        <v>ODP-6C_BKR_AHF</v>
      </c>
    </row>
    <row r="40" spans="1:12" hidden="1" x14ac:dyDescent="0.25">
      <c r="A40" t="s">
        <v>331</v>
      </c>
      <c r="B40" t="s">
        <v>40</v>
      </c>
      <c r="C40" t="s">
        <v>728</v>
      </c>
      <c r="D40" t="s">
        <v>1554</v>
      </c>
      <c r="E40" t="s">
        <v>687</v>
      </c>
      <c r="F40" t="s">
        <v>2811</v>
      </c>
      <c r="G40" t="s">
        <v>2037</v>
      </c>
      <c r="H40" t="s">
        <v>2038</v>
      </c>
      <c r="I40" t="s">
        <v>3310</v>
      </c>
      <c r="J40" t="s">
        <v>3299</v>
      </c>
      <c r="L40" t="str">
        <f>_xlfn.TEXTJOIN("_", TRUE, Table4[[#This Row],[GEAR]:[DESIGNATINO]])</f>
        <v>ODP-6C_PQM</v>
      </c>
    </row>
  </sheetData>
  <conditionalFormatting sqref="L2:L40">
    <cfRule type="duplicateValues" dxfId="4" priority="5"/>
  </conditionalFormatting>
  <conditionalFormatting sqref="L2:L39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AC65-383E-4869-9996-C637BF36D044}">
  <dimension ref="A1:L40"/>
  <sheetViews>
    <sheetView topLeftCell="A5" workbookViewId="0">
      <selection activeCell="F2" sqref="F2:F39"/>
    </sheetView>
  </sheetViews>
  <sheetFormatPr defaultRowHeight="15" x14ac:dyDescent="0.25"/>
  <cols>
    <col min="1" max="1" width="25.28515625" bestFit="1" customWidth="1"/>
    <col min="2" max="2" width="24.28515625" bestFit="1" customWidth="1"/>
    <col min="3" max="3" width="25.5703125" bestFit="1" customWidth="1"/>
    <col min="4" max="4" width="16.28515625" customWidth="1"/>
    <col min="5" max="5" width="23.28515625" customWidth="1"/>
    <col min="6" max="6" width="13.85546875" bestFit="1" customWidth="1"/>
    <col min="7" max="7" width="12.7109375" bestFit="1" customWidth="1"/>
    <col min="8" max="8" width="11.7109375" bestFit="1" customWidth="1"/>
    <col min="9" max="9" width="7.7109375" customWidth="1"/>
    <col min="10" max="10" width="7.28515625" customWidth="1"/>
    <col min="11" max="11" width="15.28515625" customWidth="1"/>
    <col min="12" max="12" width="29.5703125" customWidth="1"/>
  </cols>
  <sheetData>
    <row r="1" spans="1:12" x14ac:dyDescent="0.25">
      <c r="A1" t="s">
        <v>0</v>
      </c>
      <c r="B1" t="s">
        <v>1</v>
      </c>
      <c r="C1" t="s">
        <v>630</v>
      </c>
      <c r="D1" t="s">
        <v>631</v>
      </c>
      <c r="E1" t="s">
        <v>632</v>
      </c>
      <c r="F1" t="s">
        <v>2035</v>
      </c>
      <c r="G1" t="s">
        <v>2036</v>
      </c>
      <c r="H1" t="s">
        <v>692</v>
      </c>
      <c r="I1" t="s">
        <v>3294</v>
      </c>
      <c r="J1" t="s">
        <v>3295</v>
      </c>
      <c r="K1" t="s">
        <v>3296</v>
      </c>
      <c r="L1" t="s">
        <v>3292</v>
      </c>
    </row>
    <row r="2" spans="1:12" x14ac:dyDescent="0.25">
      <c r="A2" t="s">
        <v>339</v>
      </c>
      <c r="B2" t="s">
        <v>3</v>
      </c>
      <c r="C2" t="s">
        <v>633</v>
      </c>
      <c r="D2" t="s">
        <v>1555</v>
      </c>
      <c r="E2" t="s">
        <v>3</v>
      </c>
      <c r="F2" t="s">
        <v>2812</v>
      </c>
      <c r="G2" t="s">
        <v>2037</v>
      </c>
      <c r="H2" t="s">
        <v>2038</v>
      </c>
      <c r="I2" t="s">
        <v>3311</v>
      </c>
      <c r="J2" t="s">
        <v>3298</v>
      </c>
      <c r="K2" t="s">
        <v>3</v>
      </c>
      <c r="L2" t="str">
        <f>_xlfn.TEXTJOIN("_", TRUE, Table5[[#This Row],[GEAR]:[DESIGNATINO]])</f>
        <v>SW6D_BKR_UCB</v>
      </c>
    </row>
    <row r="3" spans="1:12" hidden="1" x14ac:dyDescent="0.25">
      <c r="A3" t="s">
        <v>339</v>
      </c>
      <c r="B3" t="s">
        <v>27</v>
      </c>
      <c r="C3" t="s">
        <v>688</v>
      </c>
      <c r="D3" t="s">
        <v>1556</v>
      </c>
      <c r="E3" t="s">
        <v>1556</v>
      </c>
      <c r="F3" t="s">
        <v>2813</v>
      </c>
      <c r="G3" t="s">
        <v>2037</v>
      </c>
      <c r="H3" t="s">
        <v>2038</v>
      </c>
      <c r="I3" t="s">
        <v>1556</v>
      </c>
      <c r="L3" t="str">
        <f>_xlfn.TEXTJOIN("_", TRUE, Table5[[#This Row],[GEAR]:[DESIGNATINO]])</f>
        <v>XFMR-6D</v>
      </c>
    </row>
    <row r="4" spans="1:12" x14ac:dyDescent="0.25">
      <c r="A4" t="s">
        <v>340</v>
      </c>
      <c r="B4" t="s">
        <v>5</v>
      </c>
      <c r="C4" t="s">
        <v>1407</v>
      </c>
      <c r="D4" t="s">
        <v>1557</v>
      </c>
      <c r="E4" t="s">
        <v>638</v>
      </c>
      <c r="F4" t="s">
        <v>2814</v>
      </c>
      <c r="G4" t="s">
        <v>2037</v>
      </c>
      <c r="H4" t="s">
        <v>2038</v>
      </c>
      <c r="I4" t="s">
        <v>3311</v>
      </c>
      <c r="J4" t="s">
        <v>3298</v>
      </c>
      <c r="K4" t="s">
        <v>1647</v>
      </c>
      <c r="L4" t="str">
        <f>_xlfn.TEXTJOIN("_", TRUE, Table5[[#This Row],[GEAR]:[DESIGNATINO]])</f>
        <v>SW6D_BKR_MCB-01</v>
      </c>
    </row>
    <row r="5" spans="1:12" x14ac:dyDescent="0.25">
      <c r="A5" t="s">
        <v>340</v>
      </c>
      <c r="B5" t="s">
        <v>125</v>
      </c>
      <c r="C5" t="s">
        <v>1409</v>
      </c>
      <c r="D5" t="s">
        <v>1558</v>
      </c>
      <c r="E5" t="s">
        <v>1100</v>
      </c>
      <c r="F5" t="s">
        <v>2815</v>
      </c>
      <c r="G5" t="s">
        <v>2037</v>
      </c>
      <c r="H5" t="s">
        <v>2038</v>
      </c>
      <c r="I5" t="s">
        <v>3311</v>
      </c>
      <c r="J5" t="s">
        <v>3298</v>
      </c>
      <c r="K5" t="s">
        <v>3305</v>
      </c>
      <c r="L5" t="str">
        <f>_xlfn.TEXTJOIN("_", TRUE, Table5[[#This Row],[GEAR]:[DESIGNATINO]])</f>
        <v>SW6D_BKR_MCB-02</v>
      </c>
    </row>
    <row r="6" spans="1:12" x14ac:dyDescent="0.25">
      <c r="A6" t="s">
        <v>341</v>
      </c>
      <c r="B6" t="s">
        <v>342</v>
      </c>
      <c r="C6" t="s">
        <v>1411</v>
      </c>
      <c r="D6" t="s">
        <v>1559</v>
      </c>
      <c r="E6" t="s">
        <v>342</v>
      </c>
      <c r="F6" t="s">
        <v>2816</v>
      </c>
      <c r="G6" t="s">
        <v>2037</v>
      </c>
      <c r="H6" t="s">
        <v>2038</v>
      </c>
      <c r="I6" t="s">
        <v>3311</v>
      </c>
      <c r="J6" t="s">
        <v>3298</v>
      </c>
      <c r="K6" t="s">
        <v>342</v>
      </c>
      <c r="L6" t="str">
        <f>_xlfn.TEXTJOIN("_", TRUE, Table5[[#This Row],[GEAR]:[DESIGNATINO]])</f>
        <v>SW6D_BKR_DP-6D-1</v>
      </c>
    </row>
    <row r="7" spans="1:12" x14ac:dyDescent="0.25">
      <c r="A7" t="s">
        <v>341</v>
      </c>
      <c r="B7" t="s">
        <v>343</v>
      </c>
      <c r="C7" t="s">
        <v>1413</v>
      </c>
      <c r="D7" t="s">
        <v>1560</v>
      </c>
      <c r="E7" t="s">
        <v>343</v>
      </c>
      <c r="F7" t="s">
        <v>2817</v>
      </c>
      <c r="G7" t="s">
        <v>2037</v>
      </c>
      <c r="H7" t="s">
        <v>2038</v>
      </c>
      <c r="I7" t="s">
        <v>3311</v>
      </c>
      <c r="J7" t="s">
        <v>3298</v>
      </c>
      <c r="K7" t="s">
        <v>343</v>
      </c>
      <c r="L7" t="str">
        <f>_xlfn.TEXTJOIN("_", TRUE, Table5[[#This Row],[GEAR]:[DESIGNATINO]])</f>
        <v>SW6D_BKR_DP-6D-2</v>
      </c>
    </row>
    <row r="8" spans="1:12" x14ac:dyDescent="0.25">
      <c r="A8" t="s">
        <v>340</v>
      </c>
      <c r="B8" t="s">
        <v>8</v>
      </c>
      <c r="C8" t="s">
        <v>643</v>
      </c>
      <c r="D8" t="s">
        <v>1561</v>
      </c>
      <c r="E8" t="s">
        <v>8</v>
      </c>
      <c r="F8" t="s">
        <v>2818</v>
      </c>
      <c r="G8" t="s">
        <v>2037</v>
      </c>
      <c r="H8" t="s">
        <v>2038</v>
      </c>
      <c r="I8" t="s">
        <v>3311</v>
      </c>
      <c r="J8" t="s">
        <v>3298</v>
      </c>
      <c r="K8" t="s">
        <v>3301</v>
      </c>
      <c r="L8" t="str">
        <f>_xlfn.TEXTJOIN("_", TRUE, Table5[[#This Row],[GEAR]:[DESIGNATINO]])</f>
        <v>SW6D_BKR_SPARE-01</v>
      </c>
    </row>
    <row r="9" spans="1:12" x14ac:dyDescent="0.25">
      <c r="A9" t="s">
        <v>340</v>
      </c>
      <c r="B9" t="s">
        <v>344</v>
      </c>
      <c r="C9" t="s">
        <v>648</v>
      </c>
      <c r="D9" t="s">
        <v>1562</v>
      </c>
      <c r="E9" t="s">
        <v>344</v>
      </c>
      <c r="F9" t="s">
        <v>2820</v>
      </c>
      <c r="G9" t="s">
        <v>2037</v>
      </c>
      <c r="H9" t="s">
        <v>2038</v>
      </c>
      <c r="I9" t="s">
        <v>3311</v>
      </c>
      <c r="J9" t="s">
        <v>3298</v>
      </c>
      <c r="K9" t="s">
        <v>344</v>
      </c>
      <c r="L9" t="str">
        <f>_xlfn.TEXTJOIN("_", TRUE, Table5[[#This Row],[GEAR]:[DESIGNATINO]])</f>
        <v>SW6D_BKR_CH-6D</v>
      </c>
    </row>
    <row r="10" spans="1:12" x14ac:dyDescent="0.25">
      <c r="A10" t="s">
        <v>340</v>
      </c>
      <c r="B10" t="s">
        <v>11</v>
      </c>
      <c r="C10" t="s">
        <v>650</v>
      </c>
      <c r="D10" t="s">
        <v>1563</v>
      </c>
      <c r="E10" t="s">
        <v>652</v>
      </c>
      <c r="F10" t="s">
        <v>2821</v>
      </c>
      <c r="G10" t="s">
        <v>2037</v>
      </c>
      <c r="H10" t="s">
        <v>2038</v>
      </c>
      <c r="I10" t="s">
        <v>3311</v>
      </c>
      <c r="J10" t="s">
        <v>3298</v>
      </c>
      <c r="K10" t="s">
        <v>11</v>
      </c>
      <c r="L10" t="str">
        <f>_xlfn.TEXTJOIN("_", TRUE, Table5[[#This Row],[GEAR]:[DESIGNATINO]])</f>
        <v>SW6D_BKR_MUPS-RIB</v>
      </c>
    </row>
    <row r="11" spans="1:12" x14ac:dyDescent="0.25">
      <c r="A11" t="s">
        <v>341</v>
      </c>
      <c r="B11" t="s">
        <v>12</v>
      </c>
      <c r="C11" t="s">
        <v>653</v>
      </c>
      <c r="D11" t="s">
        <v>1564</v>
      </c>
      <c r="E11" t="s">
        <v>655</v>
      </c>
      <c r="F11" t="s">
        <v>2822</v>
      </c>
      <c r="G11" t="s">
        <v>2037</v>
      </c>
      <c r="H11" t="s">
        <v>2038</v>
      </c>
      <c r="I11" t="s">
        <v>3311</v>
      </c>
      <c r="J11" t="s">
        <v>3298</v>
      </c>
      <c r="K11" t="s">
        <v>12</v>
      </c>
      <c r="L11" t="str">
        <f>_xlfn.TEXTJOIN("_", TRUE, Table5[[#This Row],[GEAR]:[DESIGNATINO]])</f>
        <v>SW6D_BKR_MUPS-BIB</v>
      </c>
    </row>
    <row r="12" spans="1:12" x14ac:dyDescent="0.25">
      <c r="A12" t="s">
        <v>340</v>
      </c>
      <c r="B12" t="s">
        <v>345</v>
      </c>
      <c r="C12" t="s">
        <v>1419</v>
      </c>
      <c r="D12" t="s">
        <v>1565</v>
      </c>
      <c r="E12" t="s">
        <v>345</v>
      </c>
      <c r="F12" t="s">
        <v>2823</v>
      </c>
      <c r="G12" t="s">
        <v>2037</v>
      </c>
      <c r="H12" t="s">
        <v>2038</v>
      </c>
      <c r="I12" t="s">
        <v>3311</v>
      </c>
      <c r="J12" t="s">
        <v>3298</v>
      </c>
      <c r="K12" t="s">
        <v>345</v>
      </c>
      <c r="L12" t="str">
        <f>_xlfn.TEXTJOIN("_", TRUE, Table5[[#This Row],[GEAR]:[DESIGNATINO]])</f>
        <v>SW6D_BKR_UPS-6D-1</v>
      </c>
    </row>
    <row r="13" spans="1:12" x14ac:dyDescent="0.25">
      <c r="A13" t="s">
        <v>341</v>
      </c>
      <c r="B13" t="s">
        <v>8</v>
      </c>
      <c r="C13" t="s">
        <v>1433</v>
      </c>
      <c r="D13" t="s">
        <v>1566</v>
      </c>
      <c r="E13" t="s">
        <v>8</v>
      </c>
      <c r="F13" t="s">
        <v>2824</v>
      </c>
      <c r="G13" t="s">
        <v>2037</v>
      </c>
      <c r="H13" t="s">
        <v>2038</v>
      </c>
      <c r="I13" t="s">
        <v>3311</v>
      </c>
      <c r="J13" t="s">
        <v>3298</v>
      </c>
      <c r="K13" t="s">
        <v>3302</v>
      </c>
      <c r="L13" t="str">
        <f>_xlfn.TEXTJOIN("_", TRUE, Table5[[#This Row],[GEAR]:[DESIGNATINO]])</f>
        <v>SW6D_BKR_SPARE-02</v>
      </c>
    </row>
    <row r="14" spans="1:12" hidden="1" x14ac:dyDescent="0.25">
      <c r="A14" t="s">
        <v>340</v>
      </c>
      <c r="B14" t="s">
        <v>14</v>
      </c>
      <c r="C14" t="s">
        <v>1112</v>
      </c>
      <c r="D14" t="s">
        <v>1567</v>
      </c>
      <c r="E14" t="s">
        <v>1423</v>
      </c>
      <c r="F14" t="s">
        <v>2825</v>
      </c>
      <c r="G14" t="s">
        <v>2037</v>
      </c>
      <c r="H14" t="s">
        <v>2038</v>
      </c>
      <c r="I14" t="s">
        <v>3311</v>
      </c>
      <c r="J14" t="s">
        <v>3299</v>
      </c>
      <c r="L14" t="str">
        <f>_xlfn.TEXTJOIN("_", TRUE, Table5[[#This Row],[GEAR]:[DESIGNATINO]])</f>
        <v>SW6D_PQM</v>
      </c>
    </row>
    <row r="15" spans="1:12" x14ac:dyDescent="0.25">
      <c r="A15" t="s">
        <v>341</v>
      </c>
      <c r="B15" t="s">
        <v>16</v>
      </c>
      <c r="C15" t="s">
        <v>664</v>
      </c>
      <c r="D15" t="s">
        <v>1574</v>
      </c>
      <c r="E15" t="s">
        <v>16</v>
      </c>
      <c r="F15" t="s">
        <v>2826</v>
      </c>
      <c r="G15" t="s">
        <v>2037</v>
      </c>
      <c r="H15" t="s">
        <v>2038</v>
      </c>
      <c r="I15" t="s">
        <v>3312</v>
      </c>
      <c r="J15" t="s">
        <v>3298</v>
      </c>
      <c r="K15" t="s">
        <v>16</v>
      </c>
      <c r="L15" t="str">
        <f>_xlfn.TEXTJOIN("_", TRUE, Table5[[#This Row],[GEAR]:[DESIGNATINO]])</f>
        <v>UP6D_BKR_MBB</v>
      </c>
    </row>
    <row r="16" spans="1:12" x14ac:dyDescent="0.25">
      <c r="A16" t="s">
        <v>341</v>
      </c>
      <c r="B16" t="s">
        <v>17</v>
      </c>
      <c r="C16" t="s">
        <v>666</v>
      </c>
      <c r="D16" t="s">
        <v>1575</v>
      </c>
      <c r="E16" t="s">
        <v>17</v>
      </c>
      <c r="F16" t="s">
        <v>2827</v>
      </c>
      <c r="G16" t="s">
        <v>2037</v>
      </c>
      <c r="H16" t="s">
        <v>2038</v>
      </c>
      <c r="I16" t="s">
        <v>3312</v>
      </c>
      <c r="J16" t="s">
        <v>3298</v>
      </c>
      <c r="K16" t="s">
        <v>17</v>
      </c>
      <c r="L16" t="str">
        <f>_xlfn.TEXTJOIN("_", TRUE, Table5[[#This Row],[GEAR]:[DESIGNATINO]])</f>
        <v>UP6D_BKR_MIB</v>
      </c>
    </row>
    <row r="17" spans="1:12" x14ac:dyDescent="0.25">
      <c r="A17" t="s">
        <v>341</v>
      </c>
      <c r="B17" t="s">
        <v>346</v>
      </c>
      <c r="C17" t="s">
        <v>668</v>
      </c>
      <c r="D17" t="s">
        <v>1576</v>
      </c>
      <c r="E17" t="s">
        <v>670</v>
      </c>
      <c r="F17" t="s">
        <v>2828</v>
      </c>
      <c r="G17" t="s">
        <v>2037</v>
      </c>
      <c r="H17" t="s">
        <v>2038</v>
      </c>
      <c r="I17" t="s">
        <v>3312</v>
      </c>
      <c r="J17" t="s">
        <v>3298</v>
      </c>
      <c r="K17" t="s">
        <v>670</v>
      </c>
      <c r="L17" t="str">
        <f>_xlfn.TEXTJOIN("_", TRUE, Table5[[#This Row],[GEAR]:[DESIGNATINO]])</f>
        <v>UP6D_BKR_UP</v>
      </c>
    </row>
    <row r="18" spans="1:12" x14ac:dyDescent="0.25">
      <c r="A18" t="s">
        <v>341</v>
      </c>
      <c r="B18" t="s">
        <v>8</v>
      </c>
      <c r="C18" t="s">
        <v>8</v>
      </c>
      <c r="D18" t="s">
        <v>1577</v>
      </c>
      <c r="E18" t="s">
        <v>8</v>
      </c>
      <c r="F18" t="s">
        <v>2829</v>
      </c>
      <c r="G18" t="s">
        <v>2037</v>
      </c>
      <c r="H18" t="s">
        <v>2038</v>
      </c>
      <c r="I18" t="s">
        <v>3312</v>
      </c>
      <c r="J18" t="s">
        <v>3298</v>
      </c>
      <c r="K18" t="s">
        <v>8</v>
      </c>
      <c r="L18" t="str">
        <f>_xlfn.TEXTJOIN("_", TRUE, Table5[[#This Row],[GEAR]:[DESIGNATINO]])</f>
        <v>UP6D_BKR_SPARE</v>
      </c>
    </row>
    <row r="19" spans="1:12" x14ac:dyDescent="0.25">
      <c r="A19" t="s">
        <v>341</v>
      </c>
      <c r="B19" t="s">
        <v>347</v>
      </c>
      <c r="C19" t="s">
        <v>1435</v>
      </c>
      <c r="D19" t="s">
        <v>1578</v>
      </c>
      <c r="E19" t="s">
        <v>347</v>
      </c>
      <c r="F19" t="s">
        <v>2830</v>
      </c>
      <c r="G19" t="s">
        <v>2037</v>
      </c>
      <c r="H19" t="s">
        <v>2038</v>
      </c>
      <c r="I19" t="s">
        <v>3312</v>
      </c>
      <c r="J19" t="s">
        <v>3298</v>
      </c>
      <c r="K19" t="s">
        <v>347</v>
      </c>
      <c r="L19" t="str">
        <f>_xlfn.TEXTJOIN("_", TRUE, Table5[[#This Row],[GEAR]:[DESIGNATINO]])</f>
        <v>UP6D_BKR_BUS-6D-1</v>
      </c>
    </row>
    <row r="20" spans="1:12" x14ac:dyDescent="0.25">
      <c r="A20" t="s">
        <v>341</v>
      </c>
      <c r="B20" t="s">
        <v>348</v>
      </c>
      <c r="C20" t="s">
        <v>1437</v>
      </c>
      <c r="D20" t="s">
        <v>1579</v>
      </c>
      <c r="E20" t="s">
        <v>348</v>
      </c>
      <c r="F20" t="s">
        <v>2831</v>
      </c>
      <c r="G20" t="s">
        <v>2037</v>
      </c>
      <c r="H20" t="s">
        <v>2038</v>
      </c>
      <c r="I20" t="s">
        <v>3312</v>
      </c>
      <c r="J20" t="s">
        <v>3298</v>
      </c>
      <c r="K20" t="s">
        <v>348</v>
      </c>
      <c r="L20" t="str">
        <f>_xlfn.TEXTJOIN("_", TRUE, Table5[[#This Row],[GEAR]:[DESIGNATINO]])</f>
        <v>UP6D_BKR_BUS-6D-2</v>
      </c>
    </row>
    <row r="21" spans="1:12" x14ac:dyDescent="0.25">
      <c r="A21" t="s">
        <v>341</v>
      </c>
      <c r="B21" t="s">
        <v>349</v>
      </c>
      <c r="C21" t="s">
        <v>1439</v>
      </c>
      <c r="D21" t="s">
        <v>1580</v>
      </c>
      <c r="E21" t="s">
        <v>349</v>
      </c>
      <c r="F21" t="s">
        <v>2832</v>
      </c>
      <c r="G21" t="s">
        <v>2037</v>
      </c>
      <c r="H21" t="s">
        <v>2038</v>
      </c>
      <c r="I21" t="s">
        <v>3312</v>
      </c>
      <c r="J21" t="s">
        <v>3298</v>
      </c>
      <c r="K21" t="s">
        <v>349</v>
      </c>
      <c r="L21" t="str">
        <f>_xlfn.TEXTJOIN("_", TRUE, Table5[[#This Row],[GEAR]:[DESIGNATINO]])</f>
        <v>UP6D_BKR_BUS-6D-3</v>
      </c>
    </row>
    <row r="22" spans="1:12" x14ac:dyDescent="0.25">
      <c r="A22" t="s">
        <v>341</v>
      </c>
      <c r="B22" t="s">
        <v>350</v>
      </c>
      <c r="C22" t="s">
        <v>1441</v>
      </c>
      <c r="D22" t="s">
        <v>1581</v>
      </c>
      <c r="E22" t="s">
        <v>350</v>
      </c>
      <c r="F22" t="s">
        <v>2833</v>
      </c>
      <c r="G22" t="s">
        <v>2037</v>
      </c>
      <c r="H22" t="s">
        <v>2038</v>
      </c>
      <c r="I22" t="s">
        <v>3312</v>
      </c>
      <c r="J22" t="s">
        <v>3298</v>
      </c>
      <c r="K22" t="s">
        <v>350</v>
      </c>
      <c r="L22" t="str">
        <f>_xlfn.TEXTJOIN("_", TRUE, Table5[[#This Row],[GEAR]:[DESIGNATINO]])</f>
        <v>UP6D_BKR_BUS-6D-4</v>
      </c>
    </row>
    <row r="23" spans="1:12" x14ac:dyDescent="0.25">
      <c r="A23" t="s">
        <v>341</v>
      </c>
      <c r="B23" t="s">
        <v>351</v>
      </c>
      <c r="C23" t="s">
        <v>671</v>
      </c>
      <c r="D23" t="s">
        <v>1582</v>
      </c>
      <c r="E23" t="s">
        <v>351</v>
      </c>
      <c r="F23" t="s">
        <v>2834</v>
      </c>
      <c r="G23" t="s">
        <v>2037</v>
      </c>
      <c r="H23" t="s">
        <v>2038</v>
      </c>
      <c r="I23" t="s">
        <v>3312</v>
      </c>
      <c r="J23" t="s">
        <v>3298</v>
      </c>
      <c r="K23" t="s">
        <v>351</v>
      </c>
      <c r="L23" t="str">
        <f>_xlfn.TEXTJOIN("_", TRUE, Table5[[#This Row],[GEAR]:[DESIGNATINO]])</f>
        <v>UP6D_BKR_BUS-6D-5</v>
      </c>
    </row>
    <row r="24" spans="1:12" x14ac:dyDescent="0.25">
      <c r="A24" t="s">
        <v>341</v>
      </c>
      <c r="B24" t="s">
        <v>8</v>
      </c>
      <c r="C24" t="s">
        <v>671</v>
      </c>
      <c r="D24" t="s">
        <v>1583</v>
      </c>
      <c r="E24" t="s">
        <v>1584</v>
      </c>
      <c r="F24" t="s">
        <v>2835</v>
      </c>
      <c r="G24" t="s">
        <v>2037</v>
      </c>
      <c r="H24" t="s">
        <v>2038</v>
      </c>
      <c r="I24" t="s">
        <v>3312</v>
      </c>
      <c r="J24" t="s">
        <v>3298</v>
      </c>
      <c r="K24" t="s">
        <v>1584</v>
      </c>
      <c r="L24" t="str">
        <f>_xlfn.TEXTJOIN("_", TRUE, Table5[[#This Row],[GEAR]:[DESIGNATINO]])</f>
        <v>UP6D_BKR_BUS-6D-6</v>
      </c>
    </row>
    <row r="25" spans="1:12" x14ac:dyDescent="0.25">
      <c r="A25" t="s">
        <v>341</v>
      </c>
      <c r="B25" t="s">
        <v>352</v>
      </c>
      <c r="C25" t="s">
        <v>1445</v>
      </c>
      <c r="D25" t="s">
        <v>1585</v>
      </c>
      <c r="E25" t="s">
        <v>352</v>
      </c>
      <c r="F25" t="s">
        <v>2836</v>
      </c>
      <c r="G25" t="s">
        <v>2037</v>
      </c>
      <c r="H25" t="s">
        <v>2038</v>
      </c>
      <c r="I25" t="s">
        <v>3312</v>
      </c>
      <c r="J25" t="s">
        <v>3298</v>
      </c>
      <c r="K25" t="s">
        <v>352</v>
      </c>
      <c r="L25" t="str">
        <f>_xlfn.TEXTJOIN("_", TRUE, Table5[[#This Row],[GEAR]:[DESIGNATINO]])</f>
        <v>UP6D_BKR_UOB-6D-1</v>
      </c>
    </row>
    <row r="26" spans="1:12" hidden="1" x14ac:dyDescent="0.25">
      <c r="A26" t="s">
        <v>341</v>
      </c>
      <c r="B26" t="s">
        <v>26</v>
      </c>
      <c r="C26" t="s">
        <v>1135</v>
      </c>
      <c r="D26" t="s">
        <v>1586</v>
      </c>
      <c r="E26" t="s">
        <v>687</v>
      </c>
      <c r="F26" t="s">
        <v>2837</v>
      </c>
      <c r="G26" t="s">
        <v>2037</v>
      </c>
      <c r="H26" t="s">
        <v>2038</v>
      </c>
      <c r="I26" t="s">
        <v>3312</v>
      </c>
      <c r="J26" t="s">
        <v>3299</v>
      </c>
      <c r="L26" t="str">
        <f>_xlfn.TEXTJOIN("_", TRUE, Table5[[#This Row],[GEAR]:[DESIGNATINO]])</f>
        <v>UP6D_PQM</v>
      </c>
    </row>
    <row r="27" spans="1:12" x14ac:dyDescent="0.25">
      <c r="A27" t="s">
        <v>353</v>
      </c>
      <c r="B27" t="s">
        <v>31</v>
      </c>
      <c r="C27" t="s">
        <v>694</v>
      </c>
      <c r="D27" t="s">
        <v>1587</v>
      </c>
      <c r="E27" t="s">
        <v>31</v>
      </c>
      <c r="F27" t="s">
        <v>2840</v>
      </c>
      <c r="G27" t="s">
        <v>2037</v>
      </c>
      <c r="H27" t="s">
        <v>2038</v>
      </c>
      <c r="I27" t="s">
        <v>3313</v>
      </c>
      <c r="J27" t="s">
        <v>3298</v>
      </c>
      <c r="K27" t="s">
        <v>31</v>
      </c>
      <c r="L27" t="str">
        <f>_xlfn.TEXTJOIN("_", TRUE, Table5[[#This Row],[GEAR]:[DESIGNATINO]])</f>
        <v>ODP-6D_BKR_UOB</v>
      </c>
    </row>
    <row r="28" spans="1:12" x14ac:dyDescent="0.25">
      <c r="A28" t="s">
        <v>353</v>
      </c>
      <c r="B28" t="s">
        <v>17</v>
      </c>
      <c r="C28" t="s">
        <v>1449</v>
      </c>
      <c r="D28" t="s">
        <v>1588</v>
      </c>
      <c r="E28" t="s">
        <v>17</v>
      </c>
      <c r="F28" t="s">
        <v>2841</v>
      </c>
      <c r="G28" t="s">
        <v>2037</v>
      </c>
      <c r="H28" t="s">
        <v>2038</v>
      </c>
      <c r="I28" t="s">
        <v>3313</v>
      </c>
      <c r="J28" t="s">
        <v>3298</v>
      </c>
      <c r="K28" t="s">
        <v>17</v>
      </c>
      <c r="L28" t="str">
        <f>_xlfn.TEXTJOIN("_", TRUE, Table5[[#This Row],[GEAR]:[DESIGNATINO]])</f>
        <v>ODP-6D_BKR_MIB</v>
      </c>
    </row>
    <row r="29" spans="1:12" x14ac:dyDescent="0.25">
      <c r="A29" t="s">
        <v>353</v>
      </c>
      <c r="B29" t="s">
        <v>16</v>
      </c>
      <c r="C29" t="s">
        <v>1451</v>
      </c>
      <c r="D29" t="s">
        <v>1589</v>
      </c>
      <c r="E29" t="s">
        <v>16</v>
      </c>
      <c r="F29" t="s">
        <v>2842</v>
      </c>
      <c r="G29" t="s">
        <v>2037</v>
      </c>
      <c r="H29" t="s">
        <v>2038</v>
      </c>
      <c r="I29" t="s">
        <v>3313</v>
      </c>
      <c r="J29" t="s">
        <v>3298</v>
      </c>
      <c r="K29" t="s">
        <v>16</v>
      </c>
      <c r="L29" t="str">
        <f>_xlfn.TEXTJOIN("_", TRUE, Table5[[#This Row],[GEAR]:[DESIGNATINO]])</f>
        <v>ODP-6D_BKR_MBB</v>
      </c>
    </row>
    <row r="30" spans="1:12" x14ac:dyDescent="0.25">
      <c r="A30" t="s">
        <v>353</v>
      </c>
      <c r="B30" t="s">
        <v>354</v>
      </c>
      <c r="C30" t="s">
        <v>700</v>
      </c>
      <c r="D30" t="s">
        <v>1590</v>
      </c>
      <c r="E30" t="s">
        <v>702</v>
      </c>
      <c r="F30" t="s">
        <v>2843</v>
      </c>
      <c r="G30" t="s">
        <v>2037</v>
      </c>
      <c r="H30" t="s">
        <v>2038</v>
      </c>
      <c r="I30" t="s">
        <v>3313</v>
      </c>
      <c r="J30" t="s">
        <v>3298</v>
      </c>
      <c r="K30" t="s">
        <v>702</v>
      </c>
      <c r="L30" t="str">
        <f>_xlfn.TEXTJOIN("_", TRUE, Table5[[#This Row],[GEAR]:[DESIGNATINO]])</f>
        <v>ODP-6D_BKR_FCB1</v>
      </c>
    </row>
    <row r="31" spans="1:12" x14ac:dyDescent="0.25">
      <c r="A31" t="s">
        <v>353</v>
      </c>
      <c r="B31" t="s">
        <v>355</v>
      </c>
      <c r="C31" t="s">
        <v>703</v>
      </c>
      <c r="D31" t="s">
        <v>1591</v>
      </c>
      <c r="E31" t="s">
        <v>705</v>
      </c>
      <c r="F31" t="s">
        <v>2844</v>
      </c>
      <c r="G31" t="s">
        <v>2037</v>
      </c>
      <c r="H31" t="s">
        <v>2038</v>
      </c>
      <c r="I31" t="s">
        <v>3313</v>
      </c>
      <c r="J31" t="s">
        <v>3298</v>
      </c>
      <c r="K31" t="s">
        <v>705</v>
      </c>
      <c r="L31" t="str">
        <f>_xlfn.TEXTJOIN("_", TRUE, Table5[[#This Row],[GEAR]:[DESIGNATINO]])</f>
        <v>ODP-6D_BKR_FCB2</v>
      </c>
    </row>
    <row r="32" spans="1:12" x14ac:dyDescent="0.25">
      <c r="A32" t="s">
        <v>353</v>
      </c>
      <c r="B32" t="s">
        <v>356</v>
      </c>
      <c r="C32" t="s">
        <v>706</v>
      </c>
      <c r="D32" t="s">
        <v>1592</v>
      </c>
      <c r="E32" t="s">
        <v>708</v>
      </c>
      <c r="F32" t="s">
        <v>2845</v>
      </c>
      <c r="G32" t="s">
        <v>2037</v>
      </c>
      <c r="H32" t="s">
        <v>2038</v>
      </c>
      <c r="I32" t="s">
        <v>3313</v>
      </c>
      <c r="J32" t="s">
        <v>3298</v>
      </c>
      <c r="K32" t="s">
        <v>708</v>
      </c>
      <c r="L32" t="str">
        <f>_xlfn.TEXTJOIN("_", TRUE, Table5[[#This Row],[GEAR]:[DESIGNATINO]])</f>
        <v>ODP-6D_BKR_FCB3</v>
      </c>
    </row>
    <row r="33" spans="1:12" x14ac:dyDescent="0.25">
      <c r="A33" t="s">
        <v>353</v>
      </c>
      <c r="B33" t="s">
        <v>357</v>
      </c>
      <c r="C33" t="s">
        <v>709</v>
      </c>
      <c r="D33" t="s">
        <v>1593</v>
      </c>
      <c r="E33" t="s">
        <v>711</v>
      </c>
      <c r="F33" t="s">
        <v>2846</v>
      </c>
      <c r="G33" t="s">
        <v>2037</v>
      </c>
      <c r="H33" t="s">
        <v>2038</v>
      </c>
      <c r="I33" t="s">
        <v>3313</v>
      </c>
      <c r="J33" t="s">
        <v>3298</v>
      </c>
      <c r="K33" t="s">
        <v>711</v>
      </c>
      <c r="L33" t="str">
        <f>_xlfn.TEXTJOIN("_", TRUE, Table5[[#This Row],[GEAR]:[DESIGNATINO]])</f>
        <v>ODP-6D_BKR_FCB4</v>
      </c>
    </row>
    <row r="34" spans="1:12" x14ac:dyDescent="0.25">
      <c r="A34" t="s">
        <v>353</v>
      </c>
      <c r="B34" t="s">
        <v>358</v>
      </c>
      <c r="C34" t="s">
        <v>712</v>
      </c>
      <c r="D34" t="s">
        <v>1594</v>
      </c>
      <c r="E34" t="s">
        <v>714</v>
      </c>
      <c r="F34" t="s">
        <v>2847</v>
      </c>
      <c r="G34" t="s">
        <v>2037</v>
      </c>
      <c r="H34" t="s">
        <v>2038</v>
      </c>
      <c r="I34" t="s">
        <v>3313</v>
      </c>
      <c r="J34" t="s">
        <v>3298</v>
      </c>
      <c r="K34" t="s">
        <v>714</v>
      </c>
      <c r="L34" t="str">
        <f>_xlfn.TEXTJOIN("_", TRUE, Table5[[#This Row],[GEAR]:[DESIGNATINO]])</f>
        <v>ODP-6D_BKR_FCB5</v>
      </c>
    </row>
    <row r="35" spans="1:12" x14ac:dyDescent="0.25">
      <c r="A35" t="s">
        <v>353</v>
      </c>
      <c r="B35" t="s">
        <v>359</v>
      </c>
      <c r="C35" t="s">
        <v>715</v>
      </c>
      <c r="D35" t="s">
        <v>1595</v>
      </c>
      <c r="E35" t="s">
        <v>717</v>
      </c>
      <c r="F35" t="s">
        <v>2848</v>
      </c>
      <c r="G35" t="s">
        <v>2037</v>
      </c>
      <c r="H35" t="s">
        <v>2038</v>
      </c>
      <c r="I35" t="s">
        <v>3313</v>
      </c>
      <c r="J35" t="s">
        <v>3298</v>
      </c>
      <c r="K35" t="s">
        <v>717</v>
      </c>
      <c r="L35" t="str">
        <f>_xlfn.TEXTJOIN("_", TRUE, Table5[[#This Row],[GEAR]:[DESIGNATINO]])</f>
        <v>ODP-6D_BKR_FCB6</v>
      </c>
    </row>
    <row r="36" spans="1:12" x14ac:dyDescent="0.25">
      <c r="A36" t="s">
        <v>353</v>
      </c>
      <c r="B36" t="s">
        <v>360</v>
      </c>
      <c r="C36" t="s">
        <v>718</v>
      </c>
      <c r="D36" t="s">
        <v>1596</v>
      </c>
      <c r="E36" t="s">
        <v>720</v>
      </c>
      <c r="F36" t="s">
        <v>2849</v>
      </c>
      <c r="G36" t="s">
        <v>2037</v>
      </c>
      <c r="H36" t="s">
        <v>2038</v>
      </c>
      <c r="I36" t="s">
        <v>3313</v>
      </c>
      <c r="J36" t="s">
        <v>3298</v>
      </c>
      <c r="K36" t="s">
        <v>720</v>
      </c>
      <c r="L36" t="str">
        <f>_xlfn.TEXTJOIN("_", TRUE, Table5[[#This Row],[GEAR]:[DESIGNATINO]])</f>
        <v>ODP-6D_BKR_FCB7</v>
      </c>
    </row>
    <row r="37" spans="1:12" x14ac:dyDescent="0.25">
      <c r="A37" t="s">
        <v>353</v>
      </c>
      <c r="B37" t="s">
        <v>8</v>
      </c>
      <c r="C37" t="s">
        <v>721</v>
      </c>
      <c r="D37" t="s">
        <v>1597</v>
      </c>
      <c r="E37" t="s">
        <v>645</v>
      </c>
      <c r="F37" t="s">
        <v>2850</v>
      </c>
      <c r="G37" t="s">
        <v>2037</v>
      </c>
      <c r="H37" t="s">
        <v>2038</v>
      </c>
      <c r="I37" t="s">
        <v>3313</v>
      </c>
      <c r="J37" t="s">
        <v>3298</v>
      </c>
      <c r="K37" t="s">
        <v>3301</v>
      </c>
      <c r="L37" t="str">
        <f>_xlfn.TEXTJOIN("_", TRUE, Table5[[#This Row],[GEAR]:[DESIGNATINO]])</f>
        <v>ODP-6D_BKR_SPARE-01</v>
      </c>
    </row>
    <row r="38" spans="1:12" x14ac:dyDescent="0.25">
      <c r="A38" t="s">
        <v>353</v>
      </c>
      <c r="B38" t="s">
        <v>8</v>
      </c>
      <c r="C38" t="s">
        <v>723</v>
      </c>
      <c r="D38" t="s">
        <v>1598</v>
      </c>
      <c r="E38" t="s">
        <v>660</v>
      </c>
      <c r="F38" t="s">
        <v>2851</v>
      </c>
      <c r="G38" t="s">
        <v>2037</v>
      </c>
      <c r="H38" t="s">
        <v>2038</v>
      </c>
      <c r="I38" t="s">
        <v>3313</v>
      </c>
      <c r="J38" t="s">
        <v>3298</v>
      </c>
      <c r="K38" t="s">
        <v>3302</v>
      </c>
      <c r="L38" t="str">
        <f>_xlfn.TEXTJOIN("_", TRUE, Table5[[#This Row],[GEAR]:[DESIGNATINO]])</f>
        <v>ODP-6D_BKR_SPARE-02</v>
      </c>
    </row>
    <row r="39" spans="1:12" x14ac:dyDescent="0.25">
      <c r="A39" t="s">
        <v>353</v>
      </c>
      <c r="B39" t="s">
        <v>39</v>
      </c>
      <c r="C39" t="s">
        <v>725</v>
      </c>
      <c r="D39" t="s">
        <v>1599</v>
      </c>
      <c r="E39" t="s">
        <v>39</v>
      </c>
      <c r="F39" t="s">
        <v>2852</v>
      </c>
      <c r="G39" t="s">
        <v>2037</v>
      </c>
      <c r="H39" t="s">
        <v>2038</v>
      </c>
      <c r="I39" t="s">
        <v>3313</v>
      </c>
      <c r="J39" t="s">
        <v>3298</v>
      </c>
      <c r="K39" t="s">
        <v>39</v>
      </c>
      <c r="L39" t="str">
        <f>_xlfn.TEXTJOIN("_", TRUE, Table5[[#This Row],[GEAR]:[DESIGNATINO]])</f>
        <v>ODP-6D_BKR_AHF</v>
      </c>
    </row>
    <row r="40" spans="1:12" hidden="1" x14ac:dyDescent="0.25">
      <c r="A40" t="s">
        <v>353</v>
      </c>
      <c r="B40" t="s">
        <v>40</v>
      </c>
      <c r="C40" t="s">
        <v>728</v>
      </c>
      <c r="D40" t="s">
        <v>1600</v>
      </c>
      <c r="E40" t="s">
        <v>687</v>
      </c>
      <c r="F40" t="s">
        <v>2853</v>
      </c>
      <c r="G40" t="s">
        <v>2037</v>
      </c>
      <c r="H40" t="s">
        <v>2038</v>
      </c>
      <c r="I40" t="s">
        <v>3313</v>
      </c>
      <c r="J40" t="s">
        <v>3299</v>
      </c>
      <c r="L40" t="str">
        <f>_xlfn.TEXTJOIN("_", TRUE, Table5[[#This Row],[GEAR]:[DESIGNATINO]])</f>
        <v>ODP-6D_PQM</v>
      </c>
    </row>
  </sheetData>
  <conditionalFormatting sqref="L2:L40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0A02-BC96-4917-AB29-A2A93298EEE3}">
  <dimension ref="A1:L40"/>
  <sheetViews>
    <sheetView topLeftCell="A4" workbookViewId="0">
      <selection activeCell="F2" sqref="F2:F39"/>
    </sheetView>
  </sheetViews>
  <sheetFormatPr defaultRowHeight="15" x14ac:dyDescent="0.25"/>
  <cols>
    <col min="1" max="1" width="25" bestFit="1" customWidth="1"/>
    <col min="2" max="2" width="24.28515625" bestFit="1" customWidth="1"/>
    <col min="3" max="3" width="25.5703125" bestFit="1" customWidth="1"/>
    <col min="4" max="4" width="16.28515625" customWidth="1"/>
    <col min="5" max="5" width="23.28515625" customWidth="1"/>
    <col min="6" max="6" width="13.85546875" bestFit="1" customWidth="1"/>
    <col min="7" max="7" width="12.7109375" bestFit="1" customWidth="1"/>
    <col min="8" max="8" width="11.7109375" bestFit="1" customWidth="1"/>
    <col min="9" max="9" width="7.7109375" customWidth="1"/>
    <col min="10" max="10" width="7.28515625" customWidth="1"/>
    <col min="11" max="11" width="15.28515625" customWidth="1"/>
    <col min="12" max="12" width="29.5703125" customWidth="1"/>
  </cols>
  <sheetData>
    <row r="1" spans="1:12" x14ac:dyDescent="0.25">
      <c r="A1" t="s">
        <v>0</v>
      </c>
      <c r="B1" t="s">
        <v>1</v>
      </c>
      <c r="C1" t="s">
        <v>630</v>
      </c>
      <c r="D1" t="s">
        <v>631</v>
      </c>
      <c r="E1" t="s">
        <v>632</v>
      </c>
      <c r="F1" t="s">
        <v>2035</v>
      </c>
      <c r="G1" t="s">
        <v>2036</v>
      </c>
      <c r="H1" t="s">
        <v>692</v>
      </c>
      <c r="I1" t="s">
        <v>3294</v>
      </c>
      <c r="J1" t="s">
        <v>3295</v>
      </c>
      <c r="K1" t="s">
        <v>3296</v>
      </c>
      <c r="L1" t="s">
        <v>3292</v>
      </c>
    </row>
    <row r="2" spans="1:12" x14ac:dyDescent="0.25">
      <c r="A2" t="s">
        <v>361</v>
      </c>
      <c r="B2" t="s">
        <v>3</v>
      </c>
      <c r="C2" t="s">
        <v>633</v>
      </c>
      <c r="D2" t="s">
        <v>1601</v>
      </c>
      <c r="E2" t="s">
        <v>3</v>
      </c>
      <c r="F2" t="s">
        <v>2854</v>
      </c>
      <c r="G2" t="s">
        <v>2037</v>
      </c>
      <c r="H2" t="s">
        <v>2038</v>
      </c>
      <c r="I2" t="s">
        <v>3314</v>
      </c>
      <c r="J2" t="s">
        <v>3298</v>
      </c>
      <c r="K2" t="s">
        <v>3</v>
      </c>
      <c r="L2" t="str">
        <f>_xlfn.TEXTJOIN("_", TRUE, Table6[[#This Row],[GEAR]:[DESIGNATINO]])</f>
        <v>SW6E_BKR_UCB</v>
      </c>
    </row>
    <row r="3" spans="1:12" hidden="1" x14ac:dyDescent="0.25">
      <c r="A3" t="s">
        <v>361</v>
      </c>
      <c r="B3" t="s">
        <v>27</v>
      </c>
      <c r="C3" t="s">
        <v>688</v>
      </c>
      <c r="D3" t="s">
        <v>1602</v>
      </c>
      <c r="E3" t="s">
        <v>1602</v>
      </c>
      <c r="F3" t="s">
        <v>2855</v>
      </c>
      <c r="G3" t="s">
        <v>2037</v>
      </c>
      <c r="H3" t="s">
        <v>2038</v>
      </c>
      <c r="I3" t="s">
        <v>1602</v>
      </c>
      <c r="L3" t="str">
        <f>_xlfn.TEXTJOIN("_", TRUE, Table6[[#This Row],[GEAR]:[DESIGNATINO]])</f>
        <v>XFMR-6E</v>
      </c>
    </row>
    <row r="4" spans="1:12" x14ac:dyDescent="0.25">
      <c r="A4" t="s">
        <v>362</v>
      </c>
      <c r="B4" t="s">
        <v>5</v>
      </c>
      <c r="C4" t="s">
        <v>1407</v>
      </c>
      <c r="D4" t="s">
        <v>1603</v>
      </c>
      <c r="E4" t="s">
        <v>638</v>
      </c>
      <c r="F4" t="s">
        <v>2856</v>
      </c>
      <c r="G4" t="s">
        <v>2037</v>
      </c>
      <c r="H4" t="s">
        <v>2038</v>
      </c>
      <c r="I4" t="s">
        <v>3314</v>
      </c>
      <c r="J4" t="s">
        <v>3298</v>
      </c>
      <c r="K4" t="s">
        <v>1647</v>
      </c>
      <c r="L4" t="str">
        <f>_xlfn.TEXTJOIN("_", TRUE, Table6[[#This Row],[GEAR]:[DESIGNATINO]])</f>
        <v>SW6E_BKR_MCB-01</v>
      </c>
    </row>
    <row r="5" spans="1:12" x14ac:dyDescent="0.25">
      <c r="A5" t="s">
        <v>362</v>
      </c>
      <c r="B5" t="s">
        <v>125</v>
      </c>
      <c r="C5" t="s">
        <v>1409</v>
      </c>
      <c r="D5" t="s">
        <v>1604</v>
      </c>
      <c r="E5" t="s">
        <v>1100</v>
      </c>
      <c r="F5" t="s">
        <v>2857</v>
      </c>
      <c r="G5" t="s">
        <v>2037</v>
      </c>
      <c r="H5" t="s">
        <v>2038</v>
      </c>
      <c r="I5" t="s">
        <v>3314</v>
      </c>
      <c r="J5" t="s">
        <v>3298</v>
      </c>
      <c r="K5" t="s">
        <v>3305</v>
      </c>
      <c r="L5" t="str">
        <f>_xlfn.TEXTJOIN("_", TRUE, Table6[[#This Row],[GEAR]:[DESIGNATINO]])</f>
        <v>SW6E_BKR_MCB-02</v>
      </c>
    </row>
    <row r="6" spans="1:12" x14ac:dyDescent="0.25">
      <c r="A6" t="s">
        <v>363</v>
      </c>
      <c r="B6" t="s">
        <v>364</v>
      </c>
      <c r="C6" t="s">
        <v>1411</v>
      </c>
      <c r="D6" t="s">
        <v>1605</v>
      </c>
      <c r="E6" t="s">
        <v>364</v>
      </c>
      <c r="F6" t="s">
        <v>2858</v>
      </c>
      <c r="G6" t="s">
        <v>2037</v>
      </c>
      <c r="H6" t="s">
        <v>2038</v>
      </c>
      <c r="I6" t="s">
        <v>3314</v>
      </c>
      <c r="J6" t="s">
        <v>3298</v>
      </c>
      <c r="K6" t="s">
        <v>364</v>
      </c>
      <c r="L6" t="str">
        <f>_xlfn.TEXTJOIN("_", TRUE, Table6[[#This Row],[GEAR]:[DESIGNATINO]])</f>
        <v>SW6E_BKR_DP-6E-1</v>
      </c>
    </row>
    <row r="7" spans="1:12" x14ac:dyDescent="0.25">
      <c r="A7" t="s">
        <v>363</v>
      </c>
      <c r="B7" t="s">
        <v>365</v>
      </c>
      <c r="C7" t="s">
        <v>1413</v>
      </c>
      <c r="D7" t="s">
        <v>1606</v>
      </c>
      <c r="E7" t="s">
        <v>365</v>
      </c>
      <c r="F7" t="s">
        <v>2859</v>
      </c>
      <c r="G7" t="s">
        <v>2037</v>
      </c>
      <c r="H7" t="s">
        <v>2038</v>
      </c>
      <c r="I7" t="s">
        <v>3314</v>
      </c>
      <c r="J7" t="s">
        <v>3298</v>
      </c>
      <c r="K7" t="s">
        <v>365</v>
      </c>
      <c r="L7" t="str">
        <f>_xlfn.TEXTJOIN("_", TRUE, Table6[[#This Row],[GEAR]:[DESIGNATINO]])</f>
        <v>SW6E_BKR_DP-6E-2</v>
      </c>
    </row>
    <row r="8" spans="1:12" x14ac:dyDescent="0.25">
      <c r="A8" t="s">
        <v>362</v>
      </c>
      <c r="B8" t="s">
        <v>8</v>
      </c>
      <c r="C8" t="s">
        <v>643</v>
      </c>
      <c r="D8" t="s">
        <v>1607</v>
      </c>
      <c r="E8" t="s">
        <v>8</v>
      </c>
      <c r="F8" t="s">
        <v>2860</v>
      </c>
      <c r="G8" t="s">
        <v>2037</v>
      </c>
      <c r="H8" t="s">
        <v>2038</v>
      </c>
      <c r="I8" t="s">
        <v>3314</v>
      </c>
      <c r="J8" t="s">
        <v>3298</v>
      </c>
      <c r="K8" t="s">
        <v>3301</v>
      </c>
      <c r="L8" t="str">
        <f>_xlfn.TEXTJOIN("_", TRUE, Table6[[#This Row],[GEAR]:[DESIGNATINO]])</f>
        <v>SW6E_BKR_SPARE-01</v>
      </c>
    </row>
    <row r="9" spans="1:12" x14ac:dyDescent="0.25">
      <c r="A9" t="s">
        <v>362</v>
      </c>
      <c r="B9" t="s">
        <v>366</v>
      </c>
      <c r="C9" t="s">
        <v>648</v>
      </c>
      <c r="D9" t="s">
        <v>1608</v>
      </c>
      <c r="E9" t="s">
        <v>366</v>
      </c>
      <c r="F9" t="s">
        <v>2862</v>
      </c>
      <c r="G9" t="s">
        <v>2037</v>
      </c>
      <c r="H9" t="s">
        <v>2038</v>
      </c>
      <c r="I9" t="s">
        <v>3314</v>
      </c>
      <c r="J9" t="s">
        <v>3298</v>
      </c>
      <c r="K9" t="s">
        <v>366</v>
      </c>
      <c r="L9" t="str">
        <f>_xlfn.TEXTJOIN("_", TRUE, Table6[[#This Row],[GEAR]:[DESIGNATINO]])</f>
        <v>SW6E_BKR_CH-6E</v>
      </c>
    </row>
    <row r="10" spans="1:12" x14ac:dyDescent="0.25">
      <c r="A10" t="s">
        <v>362</v>
      </c>
      <c r="B10" t="s">
        <v>11</v>
      </c>
      <c r="C10" t="s">
        <v>650</v>
      </c>
      <c r="D10" t="s">
        <v>1609</v>
      </c>
      <c r="E10" t="s">
        <v>652</v>
      </c>
      <c r="F10" t="s">
        <v>2863</v>
      </c>
      <c r="G10" t="s">
        <v>2037</v>
      </c>
      <c r="H10" t="s">
        <v>2038</v>
      </c>
      <c r="I10" t="s">
        <v>3314</v>
      </c>
      <c r="J10" t="s">
        <v>3298</v>
      </c>
      <c r="K10" t="s">
        <v>652</v>
      </c>
      <c r="L10" t="str">
        <f>_xlfn.TEXTJOIN("_", TRUE, Table6[[#This Row],[GEAR]:[DESIGNATINO]])</f>
        <v>SW6E_BKR_MUPS-RIB-1</v>
      </c>
    </row>
    <row r="11" spans="1:12" x14ac:dyDescent="0.25">
      <c r="A11" t="s">
        <v>363</v>
      </c>
      <c r="B11" t="s">
        <v>12</v>
      </c>
      <c r="C11" t="s">
        <v>653</v>
      </c>
      <c r="D11" t="s">
        <v>1610</v>
      </c>
      <c r="E11" t="s">
        <v>655</v>
      </c>
      <c r="F11" t="s">
        <v>2864</v>
      </c>
      <c r="G11" t="s">
        <v>2037</v>
      </c>
      <c r="H11" t="s">
        <v>2038</v>
      </c>
      <c r="I11" t="s">
        <v>3314</v>
      </c>
      <c r="J11" t="s">
        <v>3298</v>
      </c>
      <c r="K11" t="s">
        <v>655</v>
      </c>
      <c r="L11" t="str">
        <f>_xlfn.TEXTJOIN("_", TRUE, Table6[[#This Row],[GEAR]:[DESIGNATINO]])</f>
        <v>SW6E_BKR_MUPS-RIB-2</v>
      </c>
    </row>
    <row r="12" spans="1:12" x14ac:dyDescent="0.25">
      <c r="A12" t="s">
        <v>362</v>
      </c>
      <c r="B12" t="s">
        <v>367</v>
      </c>
      <c r="C12" t="s">
        <v>1419</v>
      </c>
      <c r="D12" t="s">
        <v>1611</v>
      </c>
      <c r="E12" t="s">
        <v>367</v>
      </c>
      <c r="F12" t="s">
        <v>2865</v>
      </c>
      <c r="G12" t="s">
        <v>2037</v>
      </c>
      <c r="H12" t="s">
        <v>2038</v>
      </c>
      <c r="I12" t="s">
        <v>3314</v>
      </c>
      <c r="J12" t="s">
        <v>3298</v>
      </c>
      <c r="K12" t="s">
        <v>367</v>
      </c>
      <c r="L12" t="str">
        <f>_xlfn.TEXTJOIN("_", TRUE, Table6[[#This Row],[GEAR]:[DESIGNATINO]])</f>
        <v>SW6E_BKR_UPS-6E-1</v>
      </c>
    </row>
    <row r="13" spans="1:12" x14ac:dyDescent="0.25">
      <c r="A13" t="s">
        <v>363</v>
      </c>
      <c r="B13" t="s">
        <v>8</v>
      </c>
      <c r="C13" t="s">
        <v>1433</v>
      </c>
      <c r="D13" t="s">
        <v>1612</v>
      </c>
      <c r="E13" t="s">
        <v>8</v>
      </c>
      <c r="F13" t="s">
        <v>2866</v>
      </c>
      <c r="G13" t="s">
        <v>2037</v>
      </c>
      <c r="H13" t="s">
        <v>2038</v>
      </c>
      <c r="I13" t="s">
        <v>3314</v>
      </c>
      <c r="J13" t="s">
        <v>3298</v>
      </c>
      <c r="K13" t="s">
        <v>3302</v>
      </c>
      <c r="L13" t="str">
        <f>_xlfn.TEXTJOIN("_", TRUE, Table6[[#This Row],[GEAR]:[DESIGNATINO]])</f>
        <v>SW6E_BKR_SPARE-02</v>
      </c>
    </row>
    <row r="14" spans="1:12" hidden="1" x14ac:dyDescent="0.25">
      <c r="A14" t="s">
        <v>362</v>
      </c>
      <c r="B14" t="s">
        <v>14</v>
      </c>
      <c r="C14" t="s">
        <v>1112</v>
      </c>
      <c r="D14" t="s">
        <v>1613</v>
      </c>
      <c r="E14" t="s">
        <v>1423</v>
      </c>
      <c r="F14" t="s">
        <v>2867</v>
      </c>
      <c r="G14" t="s">
        <v>2037</v>
      </c>
      <c r="H14" t="s">
        <v>2038</v>
      </c>
      <c r="I14" t="s">
        <v>3314</v>
      </c>
      <c r="J14" t="s">
        <v>3299</v>
      </c>
      <c r="L14" t="str">
        <f>_xlfn.TEXTJOIN("_", TRUE, Table6[[#This Row],[GEAR]:[DESIGNATINO]])</f>
        <v>SW6E_PQM</v>
      </c>
    </row>
    <row r="15" spans="1:12" x14ac:dyDescent="0.25">
      <c r="A15" t="s">
        <v>363</v>
      </c>
      <c r="B15" t="s">
        <v>16</v>
      </c>
      <c r="C15" t="s">
        <v>664</v>
      </c>
      <c r="D15" t="s">
        <v>1620</v>
      </c>
      <c r="E15" t="s">
        <v>16</v>
      </c>
      <c r="F15" t="s">
        <v>2868</v>
      </c>
      <c r="G15" t="s">
        <v>2037</v>
      </c>
      <c r="H15" t="s">
        <v>2038</v>
      </c>
      <c r="I15" t="s">
        <v>3315</v>
      </c>
      <c r="J15" t="s">
        <v>3298</v>
      </c>
      <c r="K15" t="s">
        <v>16</v>
      </c>
      <c r="L15" t="str">
        <f>_xlfn.TEXTJOIN("_", TRUE, Table6[[#This Row],[GEAR]:[DESIGNATINO]])</f>
        <v>UP6E_BKR_MBB</v>
      </c>
    </row>
    <row r="16" spans="1:12" x14ac:dyDescent="0.25">
      <c r="A16" t="s">
        <v>363</v>
      </c>
      <c r="B16" t="s">
        <v>17</v>
      </c>
      <c r="C16" t="s">
        <v>666</v>
      </c>
      <c r="D16" t="s">
        <v>1621</v>
      </c>
      <c r="E16" t="s">
        <v>17</v>
      </c>
      <c r="F16" t="s">
        <v>2869</v>
      </c>
      <c r="G16" t="s">
        <v>2037</v>
      </c>
      <c r="H16" t="s">
        <v>2038</v>
      </c>
      <c r="I16" t="s">
        <v>3315</v>
      </c>
      <c r="J16" t="s">
        <v>3298</v>
      </c>
      <c r="K16" t="s">
        <v>17</v>
      </c>
      <c r="L16" t="str">
        <f>_xlfn.TEXTJOIN("_", TRUE, Table6[[#This Row],[GEAR]:[DESIGNATINO]])</f>
        <v>UP6E_BKR_MIB</v>
      </c>
    </row>
    <row r="17" spans="1:12" x14ac:dyDescent="0.25">
      <c r="A17" t="s">
        <v>363</v>
      </c>
      <c r="B17" t="s">
        <v>368</v>
      </c>
      <c r="C17" t="s">
        <v>668</v>
      </c>
      <c r="D17" t="s">
        <v>1622</v>
      </c>
      <c r="E17" t="s">
        <v>670</v>
      </c>
      <c r="F17" t="s">
        <v>2870</v>
      </c>
      <c r="G17" t="s">
        <v>2037</v>
      </c>
      <c r="H17" t="s">
        <v>2038</v>
      </c>
      <c r="I17" t="s">
        <v>3315</v>
      </c>
      <c r="J17" t="s">
        <v>3298</v>
      </c>
      <c r="K17" t="s">
        <v>670</v>
      </c>
      <c r="L17" t="str">
        <f>_xlfn.TEXTJOIN("_", TRUE, Table6[[#This Row],[GEAR]:[DESIGNATINO]])</f>
        <v>UP6E_BKR_UP</v>
      </c>
    </row>
    <row r="18" spans="1:12" x14ac:dyDescent="0.25">
      <c r="A18" t="s">
        <v>363</v>
      </c>
      <c r="B18" t="s">
        <v>8</v>
      </c>
      <c r="C18" t="s">
        <v>8</v>
      </c>
      <c r="D18" t="s">
        <v>1623</v>
      </c>
      <c r="E18" t="s">
        <v>8</v>
      </c>
      <c r="F18" t="s">
        <v>2871</v>
      </c>
      <c r="G18" t="s">
        <v>2037</v>
      </c>
      <c r="H18" t="s">
        <v>2038</v>
      </c>
      <c r="I18" t="s">
        <v>3315</v>
      </c>
      <c r="J18" t="s">
        <v>3298</v>
      </c>
      <c r="K18" t="s">
        <v>8</v>
      </c>
      <c r="L18" t="str">
        <f>_xlfn.TEXTJOIN("_", TRUE, Table6[[#This Row],[GEAR]:[DESIGNATINO]])</f>
        <v>UP6E_BKR_SPARE</v>
      </c>
    </row>
    <row r="19" spans="1:12" x14ac:dyDescent="0.25">
      <c r="A19" t="s">
        <v>363</v>
      </c>
      <c r="B19" t="s">
        <v>369</v>
      </c>
      <c r="C19" t="s">
        <v>1435</v>
      </c>
      <c r="D19" t="s">
        <v>1624</v>
      </c>
      <c r="E19" t="s">
        <v>369</v>
      </c>
      <c r="F19" t="s">
        <v>2872</v>
      </c>
      <c r="G19" t="s">
        <v>2037</v>
      </c>
      <c r="H19" t="s">
        <v>2038</v>
      </c>
      <c r="I19" t="s">
        <v>3315</v>
      </c>
      <c r="J19" t="s">
        <v>3298</v>
      </c>
      <c r="K19" t="s">
        <v>369</v>
      </c>
      <c r="L19" t="str">
        <f>_xlfn.TEXTJOIN("_", TRUE, Table6[[#This Row],[GEAR]:[DESIGNATINO]])</f>
        <v>UP6E_BKR_BUS-6E-1</v>
      </c>
    </row>
    <row r="20" spans="1:12" x14ac:dyDescent="0.25">
      <c r="A20" t="s">
        <v>363</v>
      </c>
      <c r="B20" t="s">
        <v>370</v>
      </c>
      <c r="C20" t="s">
        <v>1437</v>
      </c>
      <c r="D20" t="s">
        <v>1625</v>
      </c>
      <c r="E20" t="s">
        <v>370</v>
      </c>
      <c r="F20" t="s">
        <v>2873</v>
      </c>
      <c r="G20" t="s">
        <v>2037</v>
      </c>
      <c r="H20" t="s">
        <v>2038</v>
      </c>
      <c r="I20" t="s">
        <v>3315</v>
      </c>
      <c r="J20" t="s">
        <v>3298</v>
      </c>
      <c r="K20" t="s">
        <v>370</v>
      </c>
      <c r="L20" t="str">
        <f>_xlfn.TEXTJOIN("_", TRUE, Table6[[#This Row],[GEAR]:[DESIGNATINO]])</f>
        <v>UP6E_BKR_BUS-6E-2</v>
      </c>
    </row>
    <row r="21" spans="1:12" x14ac:dyDescent="0.25">
      <c r="A21" t="s">
        <v>363</v>
      </c>
      <c r="B21" t="s">
        <v>371</v>
      </c>
      <c r="C21" t="s">
        <v>1439</v>
      </c>
      <c r="D21" t="s">
        <v>1626</v>
      </c>
      <c r="E21" t="s">
        <v>371</v>
      </c>
      <c r="F21" t="s">
        <v>2874</v>
      </c>
      <c r="G21" t="s">
        <v>2037</v>
      </c>
      <c r="H21" t="s">
        <v>2038</v>
      </c>
      <c r="I21" t="s">
        <v>3315</v>
      </c>
      <c r="J21" t="s">
        <v>3298</v>
      </c>
      <c r="K21" t="s">
        <v>371</v>
      </c>
      <c r="L21" t="str">
        <f>_xlfn.TEXTJOIN("_", TRUE, Table6[[#This Row],[GEAR]:[DESIGNATINO]])</f>
        <v>UP6E_BKR_BUS-6E-3</v>
      </c>
    </row>
    <row r="22" spans="1:12" x14ac:dyDescent="0.25">
      <c r="A22" t="s">
        <v>363</v>
      </c>
      <c r="B22" t="s">
        <v>372</v>
      </c>
      <c r="C22" t="s">
        <v>1441</v>
      </c>
      <c r="D22" t="s">
        <v>1627</v>
      </c>
      <c r="E22" t="s">
        <v>372</v>
      </c>
      <c r="F22" t="s">
        <v>2875</v>
      </c>
      <c r="G22" t="s">
        <v>2037</v>
      </c>
      <c r="H22" t="s">
        <v>2038</v>
      </c>
      <c r="I22" t="s">
        <v>3315</v>
      </c>
      <c r="J22" t="s">
        <v>3298</v>
      </c>
      <c r="K22" t="s">
        <v>372</v>
      </c>
      <c r="L22" t="str">
        <f>_xlfn.TEXTJOIN("_", TRUE, Table6[[#This Row],[GEAR]:[DESIGNATINO]])</f>
        <v>UP6E_BKR_BUS-6E-4</v>
      </c>
    </row>
    <row r="23" spans="1:12" x14ac:dyDescent="0.25">
      <c r="A23" t="s">
        <v>363</v>
      </c>
      <c r="B23" t="s">
        <v>373</v>
      </c>
      <c r="C23" t="s">
        <v>671</v>
      </c>
      <c r="D23" t="s">
        <v>1628</v>
      </c>
      <c r="E23" t="s">
        <v>373</v>
      </c>
      <c r="F23" t="s">
        <v>2876</v>
      </c>
      <c r="G23" t="s">
        <v>2037</v>
      </c>
      <c r="H23" t="s">
        <v>2038</v>
      </c>
      <c r="I23" t="s">
        <v>3315</v>
      </c>
      <c r="J23" t="s">
        <v>3298</v>
      </c>
      <c r="K23" t="s">
        <v>373</v>
      </c>
      <c r="L23" t="str">
        <f>_xlfn.TEXTJOIN("_", TRUE, Table6[[#This Row],[GEAR]:[DESIGNATINO]])</f>
        <v>UP6E_BKR_BUS-6E-5</v>
      </c>
    </row>
    <row r="24" spans="1:12" x14ac:dyDescent="0.25">
      <c r="A24" t="s">
        <v>363</v>
      </c>
      <c r="B24" t="s">
        <v>374</v>
      </c>
      <c r="C24" t="s">
        <v>671</v>
      </c>
      <c r="D24" t="s">
        <v>1629</v>
      </c>
      <c r="E24" t="s">
        <v>374</v>
      </c>
      <c r="F24" t="s">
        <v>2877</v>
      </c>
      <c r="G24" t="s">
        <v>2037</v>
      </c>
      <c r="H24" t="s">
        <v>2038</v>
      </c>
      <c r="I24" t="s">
        <v>3315</v>
      </c>
      <c r="J24" t="s">
        <v>3298</v>
      </c>
      <c r="K24" t="s">
        <v>374</v>
      </c>
      <c r="L24" t="str">
        <f>_xlfn.TEXTJOIN("_", TRUE, Table6[[#This Row],[GEAR]:[DESIGNATINO]])</f>
        <v>UP6E_BKR_BUS-6E-6</v>
      </c>
    </row>
    <row r="25" spans="1:12" x14ac:dyDescent="0.25">
      <c r="A25" t="s">
        <v>363</v>
      </c>
      <c r="B25" t="s">
        <v>375</v>
      </c>
      <c r="C25" t="s">
        <v>1445</v>
      </c>
      <c r="D25" t="s">
        <v>1630</v>
      </c>
      <c r="E25" t="s">
        <v>375</v>
      </c>
      <c r="F25" t="s">
        <v>2878</v>
      </c>
      <c r="G25" t="s">
        <v>2037</v>
      </c>
      <c r="H25" t="s">
        <v>2038</v>
      </c>
      <c r="I25" t="s">
        <v>3315</v>
      </c>
      <c r="J25" t="s">
        <v>3298</v>
      </c>
      <c r="K25" t="s">
        <v>375</v>
      </c>
      <c r="L25" t="str">
        <f>_xlfn.TEXTJOIN("_", TRUE, Table6[[#This Row],[GEAR]:[DESIGNATINO]])</f>
        <v>UP6E_BKR_UOB-6E-1</v>
      </c>
    </row>
    <row r="26" spans="1:12" hidden="1" x14ac:dyDescent="0.25">
      <c r="A26" t="s">
        <v>363</v>
      </c>
      <c r="B26" t="s">
        <v>26</v>
      </c>
      <c r="C26" t="s">
        <v>1135</v>
      </c>
      <c r="D26" t="s">
        <v>1631</v>
      </c>
      <c r="E26" t="s">
        <v>687</v>
      </c>
      <c r="F26" t="s">
        <v>2879</v>
      </c>
      <c r="G26" t="s">
        <v>2037</v>
      </c>
      <c r="H26" t="s">
        <v>2038</v>
      </c>
      <c r="I26" t="s">
        <v>3315</v>
      </c>
      <c r="J26" t="s">
        <v>3299</v>
      </c>
      <c r="L26" t="str">
        <f>_xlfn.TEXTJOIN("_", TRUE, Table6[[#This Row],[GEAR]:[DESIGNATINO]])</f>
        <v>UP6E_PQM</v>
      </c>
    </row>
    <row r="27" spans="1:12" x14ac:dyDescent="0.25">
      <c r="A27" t="s">
        <v>376</v>
      </c>
      <c r="B27" t="s">
        <v>31</v>
      </c>
      <c r="C27" t="s">
        <v>694</v>
      </c>
      <c r="D27" t="s">
        <v>1632</v>
      </c>
      <c r="E27" t="s">
        <v>31</v>
      </c>
      <c r="F27" t="s">
        <v>2882</v>
      </c>
      <c r="G27" t="s">
        <v>2037</v>
      </c>
      <c r="H27" t="s">
        <v>2038</v>
      </c>
      <c r="I27" t="s">
        <v>3316</v>
      </c>
      <c r="J27" t="s">
        <v>3298</v>
      </c>
      <c r="K27" t="s">
        <v>31</v>
      </c>
      <c r="L27" t="str">
        <f>_xlfn.TEXTJOIN("_", TRUE, Table6[[#This Row],[GEAR]:[DESIGNATINO]])</f>
        <v>ODP-6E_BKR_UOB</v>
      </c>
    </row>
    <row r="28" spans="1:12" x14ac:dyDescent="0.25">
      <c r="A28" t="s">
        <v>376</v>
      </c>
      <c r="B28" t="s">
        <v>17</v>
      </c>
      <c r="C28" t="s">
        <v>1449</v>
      </c>
      <c r="D28" t="s">
        <v>1633</v>
      </c>
      <c r="E28" t="s">
        <v>17</v>
      </c>
      <c r="F28" t="s">
        <v>2883</v>
      </c>
      <c r="G28" t="s">
        <v>2037</v>
      </c>
      <c r="H28" t="s">
        <v>2038</v>
      </c>
      <c r="I28" t="s">
        <v>3316</v>
      </c>
      <c r="J28" t="s">
        <v>3298</v>
      </c>
      <c r="K28" t="s">
        <v>17</v>
      </c>
      <c r="L28" t="str">
        <f>_xlfn.TEXTJOIN("_", TRUE, Table6[[#This Row],[GEAR]:[DESIGNATINO]])</f>
        <v>ODP-6E_BKR_MIB</v>
      </c>
    </row>
    <row r="29" spans="1:12" x14ac:dyDescent="0.25">
      <c r="A29" t="s">
        <v>376</v>
      </c>
      <c r="B29" t="s">
        <v>16</v>
      </c>
      <c r="C29" t="s">
        <v>1451</v>
      </c>
      <c r="D29" t="s">
        <v>1634</v>
      </c>
      <c r="E29" t="s">
        <v>16</v>
      </c>
      <c r="F29" t="s">
        <v>2884</v>
      </c>
      <c r="G29" t="s">
        <v>2037</v>
      </c>
      <c r="H29" t="s">
        <v>2038</v>
      </c>
      <c r="I29" t="s">
        <v>3316</v>
      </c>
      <c r="J29" t="s">
        <v>3298</v>
      </c>
      <c r="K29" t="s">
        <v>16</v>
      </c>
      <c r="L29" t="str">
        <f>_xlfn.TEXTJOIN("_", TRUE, Table6[[#This Row],[GEAR]:[DESIGNATINO]])</f>
        <v>ODP-6E_BKR_MBB</v>
      </c>
    </row>
    <row r="30" spans="1:12" x14ac:dyDescent="0.25">
      <c r="A30" t="s">
        <v>376</v>
      </c>
      <c r="B30" t="s">
        <v>377</v>
      </c>
      <c r="C30" t="s">
        <v>700</v>
      </c>
      <c r="D30" t="s">
        <v>1635</v>
      </c>
      <c r="E30" t="s">
        <v>702</v>
      </c>
      <c r="F30" t="s">
        <v>2885</v>
      </c>
      <c r="G30" t="s">
        <v>2037</v>
      </c>
      <c r="H30" t="s">
        <v>2038</v>
      </c>
      <c r="I30" t="s">
        <v>3316</v>
      </c>
      <c r="J30" t="s">
        <v>3298</v>
      </c>
      <c r="K30" t="s">
        <v>702</v>
      </c>
      <c r="L30" t="str">
        <f>_xlfn.TEXTJOIN("_", TRUE, Table6[[#This Row],[GEAR]:[DESIGNATINO]])</f>
        <v>ODP-6E_BKR_FCB1</v>
      </c>
    </row>
    <row r="31" spans="1:12" x14ac:dyDescent="0.25">
      <c r="A31" t="s">
        <v>376</v>
      </c>
      <c r="B31" t="s">
        <v>378</v>
      </c>
      <c r="C31" t="s">
        <v>703</v>
      </c>
      <c r="D31" t="s">
        <v>1636</v>
      </c>
      <c r="E31" t="s">
        <v>705</v>
      </c>
      <c r="F31" t="s">
        <v>2886</v>
      </c>
      <c r="G31" t="s">
        <v>2037</v>
      </c>
      <c r="H31" t="s">
        <v>2038</v>
      </c>
      <c r="I31" t="s">
        <v>3316</v>
      </c>
      <c r="J31" t="s">
        <v>3298</v>
      </c>
      <c r="K31" t="s">
        <v>705</v>
      </c>
      <c r="L31" t="str">
        <f>_xlfn.TEXTJOIN("_", TRUE, Table6[[#This Row],[GEAR]:[DESIGNATINO]])</f>
        <v>ODP-6E_BKR_FCB2</v>
      </c>
    </row>
    <row r="32" spans="1:12" x14ac:dyDescent="0.25">
      <c r="A32" t="s">
        <v>376</v>
      </c>
      <c r="B32" t="s">
        <v>379</v>
      </c>
      <c r="C32" t="s">
        <v>706</v>
      </c>
      <c r="D32" t="s">
        <v>1637</v>
      </c>
      <c r="E32" t="s">
        <v>708</v>
      </c>
      <c r="F32" t="s">
        <v>2887</v>
      </c>
      <c r="G32" t="s">
        <v>2037</v>
      </c>
      <c r="H32" t="s">
        <v>2038</v>
      </c>
      <c r="I32" t="s">
        <v>3316</v>
      </c>
      <c r="J32" t="s">
        <v>3298</v>
      </c>
      <c r="K32" t="s">
        <v>708</v>
      </c>
      <c r="L32" t="str">
        <f>_xlfn.TEXTJOIN("_", TRUE, Table6[[#This Row],[GEAR]:[DESIGNATINO]])</f>
        <v>ODP-6E_BKR_FCB3</v>
      </c>
    </row>
    <row r="33" spans="1:12" x14ac:dyDescent="0.25">
      <c r="A33" t="s">
        <v>376</v>
      </c>
      <c r="B33" t="s">
        <v>380</v>
      </c>
      <c r="C33" t="s">
        <v>709</v>
      </c>
      <c r="D33" t="s">
        <v>1638</v>
      </c>
      <c r="E33" t="s">
        <v>711</v>
      </c>
      <c r="F33" t="s">
        <v>2888</v>
      </c>
      <c r="G33" t="s">
        <v>2037</v>
      </c>
      <c r="H33" t="s">
        <v>2038</v>
      </c>
      <c r="I33" t="s">
        <v>3316</v>
      </c>
      <c r="J33" t="s">
        <v>3298</v>
      </c>
      <c r="K33" t="s">
        <v>711</v>
      </c>
      <c r="L33" t="str">
        <f>_xlfn.TEXTJOIN("_", TRUE, Table6[[#This Row],[GEAR]:[DESIGNATINO]])</f>
        <v>ODP-6E_BKR_FCB4</v>
      </c>
    </row>
    <row r="34" spans="1:12" x14ac:dyDescent="0.25">
      <c r="A34" t="s">
        <v>376</v>
      </c>
      <c r="B34" t="s">
        <v>381</v>
      </c>
      <c r="C34" t="s">
        <v>712</v>
      </c>
      <c r="D34" t="s">
        <v>1639</v>
      </c>
      <c r="E34" t="s">
        <v>714</v>
      </c>
      <c r="F34" t="s">
        <v>2889</v>
      </c>
      <c r="G34" t="s">
        <v>2037</v>
      </c>
      <c r="H34" t="s">
        <v>2038</v>
      </c>
      <c r="I34" t="s">
        <v>3316</v>
      </c>
      <c r="J34" t="s">
        <v>3298</v>
      </c>
      <c r="K34" t="s">
        <v>714</v>
      </c>
      <c r="L34" t="str">
        <f>_xlfn.TEXTJOIN("_", TRUE, Table6[[#This Row],[GEAR]:[DESIGNATINO]])</f>
        <v>ODP-6E_BKR_FCB5</v>
      </c>
    </row>
    <row r="35" spans="1:12" x14ac:dyDescent="0.25">
      <c r="A35" t="s">
        <v>376</v>
      </c>
      <c r="B35" t="s">
        <v>382</v>
      </c>
      <c r="C35" t="s">
        <v>715</v>
      </c>
      <c r="D35" t="s">
        <v>1640</v>
      </c>
      <c r="E35" t="s">
        <v>717</v>
      </c>
      <c r="F35" t="s">
        <v>2890</v>
      </c>
      <c r="G35" t="s">
        <v>2037</v>
      </c>
      <c r="H35" t="s">
        <v>2038</v>
      </c>
      <c r="I35" t="s">
        <v>3316</v>
      </c>
      <c r="J35" t="s">
        <v>3298</v>
      </c>
      <c r="K35" t="s">
        <v>717</v>
      </c>
      <c r="L35" t="str">
        <f>_xlfn.TEXTJOIN("_", TRUE, Table6[[#This Row],[GEAR]:[DESIGNATINO]])</f>
        <v>ODP-6E_BKR_FCB6</v>
      </c>
    </row>
    <row r="36" spans="1:12" x14ac:dyDescent="0.25">
      <c r="A36" t="s">
        <v>376</v>
      </c>
      <c r="B36" t="s">
        <v>383</v>
      </c>
      <c r="C36" t="s">
        <v>718</v>
      </c>
      <c r="D36" t="s">
        <v>1641</v>
      </c>
      <c r="E36" t="s">
        <v>720</v>
      </c>
      <c r="F36" t="s">
        <v>2891</v>
      </c>
      <c r="G36" t="s">
        <v>2037</v>
      </c>
      <c r="H36" t="s">
        <v>2038</v>
      </c>
      <c r="I36" t="s">
        <v>3316</v>
      </c>
      <c r="J36" t="s">
        <v>3298</v>
      </c>
      <c r="K36" t="s">
        <v>720</v>
      </c>
      <c r="L36" t="str">
        <f>_xlfn.TEXTJOIN("_", TRUE, Table6[[#This Row],[GEAR]:[DESIGNATINO]])</f>
        <v>ODP-6E_BKR_FCB7</v>
      </c>
    </row>
    <row r="37" spans="1:12" x14ac:dyDescent="0.25">
      <c r="A37" t="s">
        <v>376</v>
      </c>
      <c r="B37" t="s">
        <v>8</v>
      </c>
      <c r="C37" t="s">
        <v>721</v>
      </c>
      <c r="D37" t="s">
        <v>1642</v>
      </c>
      <c r="E37" t="s">
        <v>645</v>
      </c>
      <c r="F37" t="s">
        <v>2892</v>
      </c>
      <c r="G37" t="s">
        <v>2037</v>
      </c>
      <c r="H37" t="s">
        <v>2038</v>
      </c>
      <c r="I37" t="s">
        <v>3316</v>
      </c>
      <c r="J37" t="s">
        <v>3298</v>
      </c>
      <c r="K37" t="s">
        <v>3301</v>
      </c>
      <c r="L37" t="str">
        <f>_xlfn.TEXTJOIN("_", TRUE, Table6[[#This Row],[GEAR]:[DESIGNATINO]])</f>
        <v>ODP-6E_BKR_SPARE-01</v>
      </c>
    </row>
    <row r="38" spans="1:12" x14ac:dyDescent="0.25">
      <c r="A38" t="s">
        <v>376</v>
      </c>
      <c r="B38" t="s">
        <v>8</v>
      </c>
      <c r="C38" t="s">
        <v>723</v>
      </c>
      <c r="D38" t="s">
        <v>1643</v>
      </c>
      <c r="E38" t="s">
        <v>660</v>
      </c>
      <c r="F38" t="s">
        <v>2893</v>
      </c>
      <c r="G38" t="s">
        <v>2037</v>
      </c>
      <c r="H38" t="s">
        <v>2038</v>
      </c>
      <c r="I38" t="s">
        <v>3316</v>
      </c>
      <c r="J38" t="s">
        <v>3298</v>
      </c>
      <c r="K38" t="s">
        <v>3302</v>
      </c>
      <c r="L38" t="str">
        <f>_xlfn.TEXTJOIN("_", TRUE, Table6[[#This Row],[GEAR]:[DESIGNATINO]])</f>
        <v>ODP-6E_BKR_SPARE-02</v>
      </c>
    </row>
    <row r="39" spans="1:12" x14ac:dyDescent="0.25">
      <c r="A39" t="s">
        <v>376</v>
      </c>
      <c r="B39" t="s">
        <v>39</v>
      </c>
      <c r="C39" t="s">
        <v>725</v>
      </c>
      <c r="D39" t="s">
        <v>1644</v>
      </c>
      <c r="E39" t="s">
        <v>39</v>
      </c>
      <c r="F39" t="s">
        <v>2894</v>
      </c>
      <c r="G39" t="s">
        <v>2037</v>
      </c>
      <c r="H39" t="s">
        <v>2038</v>
      </c>
      <c r="I39" t="s">
        <v>3316</v>
      </c>
      <c r="J39" t="s">
        <v>3298</v>
      </c>
      <c r="K39" t="s">
        <v>39</v>
      </c>
      <c r="L39" t="str">
        <f>_xlfn.TEXTJOIN("_", TRUE, Table6[[#This Row],[GEAR]:[DESIGNATINO]])</f>
        <v>ODP-6E_BKR_AHF</v>
      </c>
    </row>
    <row r="40" spans="1:12" hidden="1" x14ac:dyDescent="0.25">
      <c r="A40" t="s">
        <v>376</v>
      </c>
      <c r="B40" t="s">
        <v>40</v>
      </c>
      <c r="C40" t="s">
        <v>728</v>
      </c>
      <c r="D40" t="s">
        <v>1645</v>
      </c>
      <c r="E40" t="s">
        <v>687</v>
      </c>
      <c r="F40" t="s">
        <v>2895</v>
      </c>
      <c r="G40" t="s">
        <v>2037</v>
      </c>
      <c r="H40" t="s">
        <v>2038</v>
      </c>
      <c r="I40" t="s">
        <v>3316</v>
      </c>
      <c r="J40" t="s">
        <v>3299</v>
      </c>
      <c r="L40" t="str">
        <f>_xlfn.TEXTJOIN("_", TRUE, Table6[[#This Row],[GEAR]:[DESIGNATINO]])</f>
        <v>ODP-6E_PQM</v>
      </c>
    </row>
  </sheetData>
  <conditionalFormatting sqref="L2:L40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</vt:lpstr>
      <vt:lpstr>UPS</vt:lpstr>
      <vt:lpstr>Busway</vt:lpstr>
      <vt:lpstr>6A</vt:lpstr>
      <vt:lpstr>6B</vt:lpstr>
      <vt:lpstr>6C</vt:lpstr>
      <vt:lpstr>6D</vt:lpstr>
      <vt:lpstr>6E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2026-07-09T12:43:55Z</dcterms:created>
  <dcterms:modified xsi:type="dcterms:W3CDTF">2026-07-22T18:58:05Z</dcterms:modified>
</cp:coreProperties>
</file>